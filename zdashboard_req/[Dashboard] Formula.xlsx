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6F58B7-4208-4FF8-A3BF-ABA3F1950865}" xr6:coauthVersionLast="47" xr6:coauthVersionMax="47" xr10:uidLastSave="{00000000-0000-0000-0000-000000000000}"/>
  <bookViews>
    <workbookView xWindow="0" yWindow="360" windowWidth="22149" windowHeight="13200" tabRatio="806" xr2:uid="{00000000-000D-0000-FFFF-FFFF00000000}"/>
  </bookViews>
  <sheets>
    <sheet name="Fomular" sheetId="16" r:id="rId1"/>
    <sheet name="00. Revenue Actual" sheetId="13" r:id="rId2"/>
    <sheet name="01. Revenue Forecast" sheetId="2" r:id="rId3"/>
    <sheet name="02. Revenue Target" sheetId="3" r:id="rId4"/>
    <sheet name="03. Cost Actual" sheetId="14" r:id="rId5"/>
    <sheet name="04. Cost Forecast" sheetId="10" r:id="rId6"/>
    <sheet name="05. Cost Target" sheetId="12" r:id="rId7"/>
    <sheet name="06. P&amp;L Actual" sheetId="7" r:id="rId8"/>
    <sheet name="07. P&amp;L Forecast" sheetId="8" r:id="rId9"/>
    <sheet name="08. P&amp;L Target" sheetId="9" r:id="rId10"/>
    <sheet name="OT" sheetId="1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D11" i="9"/>
  <c r="E4" i="3"/>
  <c r="U14" i="13"/>
  <c r="U14" i="2"/>
  <c r="BA7" i="14"/>
  <c r="BE10" i="14"/>
  <c r="AC11" i="14"/>
  <c r="AC12" i="14"/>
  <c r="AC10" i="14"/>
  <c r="AA15" i="13"/>
  <c r="AY7" i="15"/>
  <c r="AV7" i="15"/>
  <c r="AZ9" i="15"/>
  <c r="BE9" i="14"/>
  <c r="BG7" i="14"/>
  <c r="AY9" i="14"/>
  <c r="AY10" i="15"/>
  <c r="AZ7" i="14"/>
  <c r="AY7" i="14"/>
  <c r="BK7" i="14" s="1"/>
  <c r="AI7" i="14"/>
  <c r="BA6" i="14"/>
  <c r="AZ6" i="14"/>
  <c r="AA8" i="10"/>
  <c r="AY8" i="10"/>
  <c r="AV8" i="10"/>
  <c r="BE6" i="10"/>
  <c r="BE7" i="10"/>
  <c r="BF8" i="10"/>
  <c r="BE8" i="10"/>
  <c r="AZ9" i="10"/>
  <c r="BA9" i="10"/>
  <c r="AC9" i="10"/>
  <c r="AB7" i="10"/>
  <c r="AB8" i="10"/>
  <c r="R7" i="10"/>
  <c r="BB6" i="10"/>
  <c r="BD6" i="10"/>
  <c r="BC6" i="10"/>
  <c r="AY6" i="10"/>
  <c r="AB6" i="10"/>
  <c r="U25" i="13"/>
  <c r="BE5" i="14"/>
  <c r="BE6" i="14"/>
  <c r="T32" i="13"/>
  <c r="T16" i="13"/>
  <c r="H24" i="13"/>
  <c r="T30" i="13"/>
  <c r="B6" i="13"/>
  <c r="C5" i="13"/>
  <c r="E16" i="14"/>
  <c r="L20" i="10"/>
  <c r="M19" i="10"/>
  <c r="L19" i="10"/>
  <c r="K19" i="10"/>
  <c r="J19" i="10"/>
  <c r="I19" i="10"/>
  <c r="H19" i="10"/>
  <c r="G19" i="10"/>
  <c r="M18" i="10"/>
  <c r="L18" i="10"/>
  <c r="K18" i="10"/>
  <c r="J18" i="10"/>
  <c r="I18" i="10"/>
  <c r="H18" i="10"/>
  <c r="G18" i="10"/>
  <c r="F19" i="10"/>
  <c r="E19" i="10"/>
  <c r="D19" i="10"/>
  <c r="D18" i="10"/>
  <c r="L17" i="10"/>
  <c r="K17" i="10"/>
  <c r="K20" i="10" s="1"/>
  <c r="J17" i="10"/>
  <c r="J20" i="10" s="1"/>
  <c r="I17" i="10"/>
  <c r="I20" i="10" s="1"/>
  <c r="G17" i="10"/>
  <c r="G20" i="10" s="1"/>
  <c r="B5" i="13"/>
  <c r="E18" i="10"/>
  <c r="F17" i="10"/>
  <c r="D17" i="10"/>
  <c r="D20" i="10" s="1"/>
  <c r="BB7" i="14"/>
  <c r="BH7" i="14"/>
  <c r="BH9" i="14"/>
  <c r="BC10" i="14"/>
  <c r="BB12" i="14"/>
  <c r="AC8" i="14"/>
  <c r="AC9" i="14"/>
  <c r="AB7" i="14"/>
  <c r="AB6" i="14"/>
  <c r="BB5" i="14"/>
  <c r="AY10" i="14"/>
  <c r="E11" i="9"/>
  <c r="F11" i="9"/>
  <c r="G11" i="9"/>
  <c r="H11" i="9"/>
  <c r="I11" i="9"/>
  <c r="J11" i="9"/>
  <c r="K11" i="9"/>
  <c r="L11" i="9"/>
  <c r="M11" i="9"/>
  <c r="N11" i="9"/>
  <c r="O11" i="9"/>
  <c r="D12" i="9"/>
  <c r="E12" i="9"/>
  <c r="F12" i="9"/>
  <c r="G12" i="9"/>
  <c r="H12" i="9"/>
  <c r="I12" i="9"/>
  <c r="J12" i="9"/>
  <c r="K12" i="9"/>
  <c r="L12" i="9"/>
  <c r="M12" i="9"/>
  <c r="N12" i="9"/>
  <c r="O12" i="9"/>
  <c r="E10" i="9"/>
  <c r="F10" i="9"/>
  <c r="G10" i="9"/>
  <c r="H10" i="9"/>
  <c r="I10" i="9"/>
  <c r="J10" i="9"/>
  <c r="K10" i="9"/>
  <c r="L10" i="9"/>
  <c r="M10" i="9"/>
  <c r="N10" i="9"/>
  <c r="O10" i="9"/>
  <c r="D10" i="9"/>
  <c r="C10" i="12"/>
  <c r="AZ6" i="10"/>
  <c r="BA6" i="10"/>
  <c r="BF6" i="10"/>
  <c r="BG6" i="10"/>
  <c r="BJ6" i="10"/>
  <c r="AZ7" i="10"/>
  <c r="BA7" i="10"/>
  <c r="BB7" i="10"/>
  <c r="BD7" i="10"/>
  <c r="BF7" i="10"/>
  <c r="BG7" i="10"/>
  <c r="BH7" i="10"/>
  <c r="BI7" i="10"/>
  <c r="BJ7" i="10"/>
  <c r="AZ8" i="10"/>
  <c r="BA8" i="10"/>
  <c r="BB8" i="10"/>
  <c r="BC8" i="10"/>
  <c r="BD8" i="10"/>
  <c r="BG8" i="10"/>
  <c r="BH8" i="10"/>
  <c r="BI8" i="10"/>
  <c r="BJ8" i="10"/>
  <c r="F18" i="10"/>
  <c r="F20" i="10" s="1"/>
  <c r="BB9" i="10"/>
  <c r="BC9" i="10"/>
  <c r="BD9" i="10"/>
  <c r="BE9" i="10"/>
  <c r="BF9" i="10"/>
  <c r="BG9" i="10"/>
  <c r="BH9" i="10"/>
  <c r="BI9" i="10"/>
  <c r="BJ9" i="10"/>
  <c r="AZ11" i="10"/>
  <c r="BA11" i="10"/>
  <c r="BB11" i="10"/>
  <c r="BC11" i="10"/>
  <c r="BD11" i="10"/>
  <c r="BE11" i="10"/>
  <c r="BF11" i="10"/>
  <c r="BG11" i="10"/>
  <c r="BH11" i="10"/>
  <c r="BI11" i="10"/>
  <c r="BJ11" i="10"/>
  <c r="AZ12" i="10"/>
  <c r="BA12" i="10"/>
  <c r="BB12" i="10"/>
  <c r="BC12" i="10"/>
  <c r="BD12" i="10"/>
  <c r="BE12" i="10"/>
  <c r="BF12" i="10"/>
  <c r="BG12" i="10"/>
  <c r="BH12" i="10"/>
  <c r="BI12" i="10"/>
  <c r="BJ12" i="10"/>
  <c r="AY12" i="10"/>
  <c r="AY11" i="10"/>
  <c r="AY9" i="10"/>
  <c r="AY7" i="10"/>
  <c r="AA6" i="10"/>
  <c r="BL7" i="14"/>
  <c r="BM7" i="14"/>
  <c r="BT7" i="14"/>
  <c r="BT9" i="14"/>
  <c r="BO10" i="14"/>
  <c r="BK10" i="14"/>
  <c r="BK9" i="14"/>
  <c r="B17" i="14" s="1"/>
  <c r="AW7" i="15"/>
  <c r="AX7" i="15"/>
  <c r="AZ7" i="15"/>
  <c r="BA7" i="15"/>
  <c r="BB7" i="15"/>
  <c r="BC7" i="15"/>
  <c r="BD7" i="15"/>
  <c r="BE7" i="15"/>
  <c r="BF7" i="15"/>
  <c r="BG7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AV9" i="15"/>
  <c r="AW9" i="15"/>
  <c r="AX9" i="15"/>
  <c r="AY9" i="15"/>
  <c r="BA9" i="15"/>
  <c r="BB9" i="15"/>
  <c r="BC9" i="15"/>
  <c r="BD9" i="15"/>
  <c r="BE9" i="15"/>
  <c r="BF9" i="15"/>
  <c r="BG9" i="15"/>
  <c r="AV10" i="15"/>
  <c r="AW10" i="15"/>
  <c r="AX10" i="15"/>
  <c r="AZ10" i="15"/>
  <c r="BA10" i="15"/>
  <c r="BB10" i="15"/>
  <c r="BC10" i="15"/>
  <c r="BD10" i="15"/>
  <c r="BE10" i="15"/>
  <c r="BF10" i="15"/>
  <c r="BG10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AW6" i="15"/>
  <c r="AX6" i="15"/>
  <c r="AY6" i="15"/>
  <c r="AZ6" i="15"/>
  <c r="BA6" i="15"/>
  <c r="BB6" i="15"/>
  <c r="BC6" i="15"/>
  <c r="BD6" i="15"/>
  <c r="BE6" i="15"/>
  <c r="BF6" i="15"/>
  <c r="BG6" i="15"/>
  <c r="AV6" i="15"/>
  <c r="AY5" i="14"/>
  <c r="AZ5" i="14"/>
  <c r="BA5" i="14"/>
  <c r="BC5" i="14"/>
  <c r="BD5" i="14"/>
  <c r="BF5" i="14"/>
  <c r="BG5" i="14"/>
  <c r="BH5" i="14"/>
  <c r="BI5" i="14"/>
  <c r="BJ5" i="14"/>
  <c r="G12" i="15"/>
  <c r="G11" i="15"/>
  <c r="G10" i="15"/>
  <c r="G9" i="15"/>
  <c r="G8" i="15"/>
  <c r="G7" i="15"/>
  <c r="G6" i="15"/>
  <c r="AO9" i="14"/>
  <c r="AO10" i="14"/>
  <c r="N12" i="14"/>
  <c r="G12" i="14"/>
  <c r="V11" i="14"/>
  <c r="O11" i="14"/>
  <c r="G11" i="14"/>
  <c r="V10" i="14"/>
  <c r="P10" i="14"/>
  <c r="G10" i="14"/>
  <c r="P9" i="14"/>
  <c r="G9" i="14"/>
  <c r="V8" i="14"/>
  <c r="O8" i="14"/>
  <c r="G8" i="14"/>
  <c r="G7" i="14"/>
  <c r="G6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Y5" i="14"/>
  <c r="X5" i="14"/>
  <c r="W5" i="14"/>
  <c r="V5" i="14"/>
  <c r="U5" i="14"/>
  <c r="AT10" i="14" s="1"/>
  <c r="T5" i="14"/>
  <c r="AS10" i="14" s="1"/>
  <c r="S5" i="14"/>
  <c r="R5" i="14"/>
  <c r="AQ10" i="14" s="1"/>
  <c r="Q5" i="14"/>
  <c r="AP10" i="14" s="1"/>
  <c r="P5" i="14"/>
  <c r="O5" i="14"/>
  <c r="N5" i="14"/>
  <c r="AO10" i="10"/>
  <c r="AO9" i="10"/>
  <c r="P10" i="10"/>
  <c r="P9" i="10"/>
  <c r="V10" i="10"/>
  <c r="G10" i="10"/>
  <c r="AB5" i="10"/>
  <c r="AC5" i="10"/>
  <c r="AD5" i="10"/>
  <c r="AE5" i="10"/>
  <c r="AF5" i="10"/>
  <c r="AG5" i="10"/>
  <c r="AH5" i="10"/>
  <c r="AI5" i="10"/>
  <c r="AJ5" i="10"/>
  <c r="AK5" i="10"/>
  <c r="AL5" i="10"/>
  <c r="AA5" i="10"/>
  <c r="E5" i="12"/>
  <c r="E6" i="12"/>
  <c r="W12" i="10"/>
  <c r="V8" i="10"/>
  <c r="V11" i="10"/>
  <c r="V7" i="10"/>
  <c r="N12" i="10"/>
  <c r="O7" i="10"/>
  <c r="O8" i="10"/>
  <c r="O9" i="10"/>
  <c r="O11" i="10"/>
  <c r="O6" i="10"/>
  <c r="P6" i="10"/>
  <c r="AN5" i="10"/>
  <c r="AN9" i="10" s="1"/>
  <c r="AO5" i="10"/>
  <c r="AP5" i="10"/>
  <c r="AQ5" i="10"/>
  <c r="AR5" i="10"/>
  <c r="AS5" i="10"/>
  <c r="AT5" i="10"/>
  <c r="AU5" i="10"/>
  <c r="AU10" i="10" s="1"/>
  <c r="AV5" i="10"/>
  <c r="AV10" i="10" s="1"/>
  <c r="AW5" i="10"/>
  <c r="AW10" i="10" s="1"/>
  <c r="AX5" i="10"/>
  <c r="AX10" i="10" s="1"/>
  <c r="AM5" i="10"/>
  <c r="Y5" i="10"/>
  <c r="AL10" i="10" s="1"/>
  <c r="BJ10" i="10" s="1"/>
  <c r="X5" i="10"/>
  <c r="AK10" i="10" s="1"/>
  <c r="BI10" i="10" s="1"/>
  <c r="W5" i="10"/>
  <c r="AJ10" i="10" s="1"/>
  <c r="BH10" i="10" s="1"/>
  <c r="V5" i="10"/>
  <c r="U5" i="10"/>
  <c r="AT10" i="10" s="1"/>
  <c r="T5" i="10"/>
  <c r="AS10" i="10" s="1"/>
  <c r="S5" i="10"/>
  <c r="AR10" i="10" s="1"/>
  <c r="R5" i="10"/>
  <c r="AQ10" i="10" s="1"/>
  <c r="Q5" i="10"/>
  <c r="AP10" i="10" s="1"/>
  <c r="P5" i="10"/>
  <c r="O5" i="10"/>
  <c r="N5" i="10"/>
  <c r="AA10" i="10" s="1"/>
  <c r="AY10" i="10" s="1"/>
  <c r="AM7" i="10"/>
  <c r="AN7" i="10"/>
  <c r="AO7" i="10"/>
  <c r="AP7" i="10"/>
  <c r="AQ7" i="10"/>
  <c r="AR7" i="10"/>
  <c r="AS7" i="10"/>
  <c r="AT7" i="10"/>
  <c r="AU7" i="10"/>
  <c r="AV7" i="10"/>
  <c r="AW7" i="10"/>
  <c r="AX7" i="10"/>
  <c r="AM8" i="10"/>
  <c r="AN8" i="10"/>
  <c r="AO8" i="10"/>
  <c r="AP8" i="10"/>
  <c r="AQ8" i="10"/>
  <c r="AR8" i="10"/>
  <c r="AS8" i="10"/>
  <c r="AT8" i="10"/>
  <c r="AU8" i="10"/>
  <c r="AW8" i="10"/>
  <c r="AX8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G6" i="10"/>
  <c r="G7" i="10"/>
  <c r="G8" i="10"/>
  <c r="G9" i="10"/>
  <c r="G11" i="10"/>
  <c r="G12" i="10"/>
  <c r="D15" i="2"/>
  <c r="D14" i="2"/>
  <c r="D26" i="2"/>
  <c r="D27" i="2"/>
  <c r="D28" i="2"/>
  <c r="D29" i="2"/>
  <c r="D30" i="2"/>
  <c r="D31" i="2"/>
  <c r="D32" i="2"/>
  <c r="D33" i="2"/>
  <c r="D34" i="2"/>
  <c r="D25" i="2"/>
  <c r="D16" i="2"/>
  <c r="D17" i="2"/>
  <c r="D15" i="13"/>
  <c r="D16" i="13"/>
  <c r="D17" i="13"/>
  <c r="D14" i="13"/>
  <c r="C11" i="12"/>
  <c r="C12" i="12"/>
  <c r="D13" i="12"/>
  <c r="E4" i="12" s="1"/>
  <c r="E13" i="12"/>
  <c r="F13" i="12"/>
  <c r="G13" i="12"/>
  <c r="H13" i="12"/>
  <c r="I13" i="12"/>
  <c r="J13" i="12"/>
  <c r="K13" i="12"/>
  <c r="L13" i="12"/>
  <c r="M13" i="12"/>
  <c r="N13" i="12"/>
  <c r="O13" i="12"/>
  <c r="C11" i="3"/>
  <c r="C12" i="3"/>
  <c r="C10" i="3"/>
  <c r="E13" i="3"/>
  <c r="F13" i="3"/>
  <c r="G13" i="3"/>
  <c r="H13" i="3"/>
  <c r="I13" i="3"/>
  <c r="J13" i="3"/>
  <c r="K13" i="3"/>
  <c r="L13" i="3"/>
  <c r="M13" i="3"/>
  <c r="N13" i="3"/>
  <c r="O13" i="3"/>
  <c r="D26" i="13"/>
  <c r="D27" i="13"/>
  <c r="D28" i="13"/>
  <c r="D29" i="13"/>
  <c r="D30" i="13"/>
  <c r="D31" i="13"/>
  <c r="D32" i="13"/>
  <c r="D33" i="13"/>
  <c r="D34" i="13"/>
  <c r="D25" i="13"/>
  <c r="I24" i="13"/>
  <c r="J24" i="13"/>
  <c r="K24" i="13"/>
  <c r="L24" i="13"/>
  <c r="M24" i="13"/>
  <c r="N24" i="13"/>
  <c r="O24" i="13"/>
  <c r="P24" i="13"/>
  <c r="Q24" i="13"/>
  <c r="R24" i="13"/>
  <c r="S24" i="13"/>
  <c r="I25" i="13"/>
  <c r="J25" i="13"/>
  <c r="T25" i="13"/>
  <c r="V25" i="13"/>
  <c r="W25" i="13"/>
  <c r="X25" i="13"/>
  <c r="Y25" i="13"/>
  <c r="Z25" i="13"/>
  <c r="AA25" i="13"/>
  <c r="AB25" i="13"/>
  <c r="AC25" i="13"/>
  <c r="AD25" i="13"/>
  <c r="AE25" i="13"/>
  <c r="J26" i="13"/>
  <c r="K26" i="13"/>
  <c r="L26" i="13"/>
  <c r="O26" i="13"/>
  <c r="P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I27" i="13"/>
  <c r="J27" i="13"/>
  <c r="K27" i="13"/>
  <c r="M27" i="13"/>
  <c r="N27" i="13"/>
  <c r="O27" i="13"/>
  <c r="P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J28" i="13"/>
  <c r="L28" i="13"/>
  <c r="M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I29" i="13"/>
  <c r="M29" i="13"/>
  <c r="N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L30" i="13"/>
  <c r="U30" i="13"/>
  <c r="V30" i="13"/>
  <c r="W30" i="13"/>
  <c r="X30" i="13"/>
  <c r="Y30" i="13"/>
  <c r="Z30" i="13"/>
  <c r="AA30" i="13"/>
  <c r="AB30" i="13"/>
  <c r="AC30" i="13"/>
  <c r="AD30" i="13"/>
  <c r="AE30" i="13"/>
  <c r="I31" i="13"/>
  <c r="P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I32" i="13"/>
  <c r="L32" i="13"/>
  <c r="N32" i="13"/>
  <c r="O32" i="13"/>
  <c r="P32" i="13"/>
  <c r="U32" i="13"/>
  <c r="V32" i="13"/>
  <c r="W32" i="13"/>
  <c r="X32" i="13"/>
  <c r="Y32" i="13"/>
  <c r="Z32" i="13"/>
  <c r="AA32" i="13"/>
  <c r="AB32" i="13"/>
  <c r="AC32" i="13"/>
  <c r="AD32" i="13"/>
  <c r="AE32" i="13"/>
  <c r="I33" i="13"/>
  <c r="J33" i="13"/>
  <c r="K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I34" i="13"/>
  <c r="J34" i="13"/>
  <c r="K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B7" i="13"/>
  <c r="G7" i="13"/>
  <c r="H7" i="13"/>
  <c r="I7" i="13"/>
  <c r="J7" i="13"/>
  <c r="K7" i="13"/>
  <c r="L7" i="13"/>
  <c r="M7" i="13"/>
  <c r="V14" i="13"/>
  <c r="D5" i="13" s="1"/>
  <c r="W14" i="13"/>
  <c r="E5" i="13" s="1"/>
  <c r="X14" i="13"/>
  <c r="F5" i="13" s="1"/>
  <c r="Y14" i="13"/>
  <c r="Z14" i="13"/>
  <c r="Y15" i="13"/>
  <c r="Z15" i="13"/>
  <c r="I5" i="13"/>
  <c r="AB15" i="13"/>
  <c r="J5" i="13" s="1"/>
  <c r="AC15" i="13"/>
  <c r="K5" i="13" s="1"/>
  <c r="AD15" i="13"/>
  <c r="L5" i="13" s="1"/>
  <c r="AE15" i="13"/>
  <c r="M5" i="13" s="1"/>
  <c r="U16" i="13"/>
  <c r="C6" i="13" s="1"/>
  <c r="V16" i="13"/>
  <c r="D6" i="13" s="1"/>
  <c r="W16" i="13"/>
  <c r="E6" i="13" s="1"/>
  <c r="X16" i="13"/>
  <c r="F6" i="13" s="1"/>
  <c r="Y16" i="13"/>
  <c r="G6" i="13" s="1"/>
  <c r="Z16" i="13"/>
  <c r="H6" i="13" s="1"/>
  <c r="AA16" i="13"/>
  <c r="I6" i="13" s="1"/>
  <c r="AB16" i="13"/>
  <c r="J6" i="13" s="1"/>
  <c r="AC16" i="13"/>
  <c r="K6" i="13" s="1"/>
  <c r="AD16" i="13"/>
  <c r="L6" i="13" s="1"/>
  <c r="AE16" i="13"/>
  <c r="M6" i="13" s="1"/>
  <c r="U17" i="13"/>
  <c r="C7" i="13" s="1"/>
  <c r="V17" i="13"/>
  <c r="D7" i="13" s="1"/>
  <c r="W17" i="13"/>
  <c r="E7" i="13" s="1"/>
  <c r="X17" i="13"/>
  <c r="F7" i="13" s="1"/>
  <c r="X33" i="2"/>
  <c r="Y33" i="2"/>
  <c r="Z33" i="2"/>
  <c r="AA33" i="2"/>
  <c r="AB33" i="2"/>
  <c r="AC33" i="2"/>
  <c r="AD33" i="2"/>
  <c r="AE33" i="2"/>
  <c r="X34" i="2"/>
  <c r="Y34" i="2"/>
  <c r="Z34" i="2"/>
  <c r="AA34" i="2"/>
  <c r="AB34" i="2"/>
  <c r="AC34" i="2"/>
  <c r="AD34" i="2"/>
  <c r="AE34" i="2"/>
  <c r="T34" i="2"/>
  <c r="T33" i="2"/>
  <c r="K34" i="2"/>
  <c r="W34" i="2" s="1"/>
  <c r="K33" i="2"/>
  <c r="W33" i="2" s="1"/>
  <c r="I33" i="2"/>
  <c r="U33" i="2" s="1"/>
  <c r="I34" i="2"/>
  <c r="U34" i="2" s="1"/>
  <c r="I26" i="2"/>
  <c r="I27" i="2"/>
  <c r="I28" i="2"/>
  <c r="I29" i="2"/>
  <c r="I25" i="2"/>
  <c r="U25" i="2" s="1"/>
  <c r="AD30" i="2"/>
  <c r="AE30" i="2"/>
  <c r="AD31" i="2"/>
  <c r="AE31" i="2"/>
  <c r="AD32" i="2"/>
  <c r="AE32" i="2"/>
  <c r="P27" i="2"/>
  <c r="P28" i="2"/>
  <c r="P29" i="2"/>
  <c r="P26" i="2"/>
  <c r="J25" i="2"/>
  <c r="Q31" i="2"/>
  <c r="AC31" i="2" s="1"/>
  <c r="Q32" i="2"/>
  <c r="AC32" i="2" s="1"/>
  <c r="Q30" i="2"/>
  <c r="AC30" i="2" s="1"/>
  <c r="G7" i="2"/>
  <c r="H7" i="2"/>
  <c r="I7" i="2"/>
  <c r="J7" i="2"/>
  <c r="K7" i="2"/>
  <c r="L7" i="2"/>
  <c r="M7" i="2"/>
  <c r="B7" i="2"/>
  <c r="I24" i="2"/>
  <c r="J24" i="2"/>
  <c r="K24" i="2"/>
  <c r="L24" i="2"/>
  <c r="M24" i="2"/>
  <c r="N24" i="2"/>
  <c r="O24" i="2"/>
  <c r="P24" i="2"/>
  <c r="Q24" i="2"/>
  <c r="R24" i="2"/>
  <c r="S24" i="2"/>
  <c r="H24" i="2"/>
  <c r="H30" i="2" s="1"/>
  <c r="T30" i="2" s="1"/>
  <c r="AC26" i="2"/>
  <c r="AD26" i="2"/>
  <c r="AE26" i="2"/>
  <c r="AC27" i="2"/>
  <c r="AD27" i="2"/>
  <c r="AE27" i="2"/>
  <c r="AC28" i="2"/>
  <c r="AD28" i="2"/>
  <c r="AE28" i="2"/>
  <c r="AC29" i="2"/>
  <c r="AD29" i="2"/>
  <c r="AE29" i="2"/>
  <c r="W25" i="2"/>
  <c r="X25" i="2"/>
  <c r="Y25" i="2"/>
  <c r="Z25" i="2"/>
  <c r="AA25" i="2"/>
  <c r="AB25" i="2"/>
  <c r="AC25" i="2"/>
  <c r="AD25" i="2"/>
  <c r="AE25" i="2"/>
  <c r="V17" i="2"/>
  <c r="W17" i="2"/>
  <c r="E7" i="2" s="1"/>
  <c r="X17" i="2"/>
  <c r="F7" i="2" s="1"/>
  <c r="U17" i="2"/>
  <c r="C7" i="2" s="1"/>
  <c r="T16" i="2"/>
  <c r="V16" i="2"/>
  <c r="W16" i="2"/>
  <c r="X16" i="2"/>
  <c r="Y16" i="2"/>
  <c r="Z16" i="2"/>
  <c r="AA16" i="2"/>
  <c r="AB16" i="2"/>
  <c r="AC16" i="2"/>
  <c r="K6" i="2" s="1"/>
  <c r="AD16" i="2"/>
  <c r="L6" i="2" s="1"/>
  <c r="AE16" i="2"/>
  <c r="M6" i="2" s="1"/>
  <c r="U16" i="2"/>
  <c r="Y15" i="2"/>
  <c r="Z15" i="2"/>
  <c r="AA15" i="2"/>
  <c r="AB15" i="2"/>
  <c r="AC15" i="2"/>
  <c r="K5" i="2" s="1"/>
  <c r="AD15" i="2"/>
  <c r="L5" i="2" s="1"/>
  <c r="AE15" i="2"/>
  <c r="M5" i="2" s="1"/>
  <c r="V14" i="2"/>
  <c r="W14" i="2"/>
  <c r="X14" i="2"/>
  <c r="Y14" i="2"/>
  <c r="Z14" i="2"/>
  <c r="E6" i="3"/>
  <c r="E5" i="3"/>
  <c r="D13" i="3"/>
  <c r="E17" i="10" l="1"/>
  <c r="E20" i="10"/>
  <c r="C13" i="3"/>
  <c r="C12" i="9"/>
  <c r="C11" i="9"/>
  <c r="C10" i="9"/>
  <c r="BJ7" i="14"/>
  <c r="BV7" i="14" s="1"/>
  <c r="BJ8" i="14"/>
  <c r="BV8" i="14" s="1"/>
  <c r="BJ9" i="14"/>
  <c r="BV9" i="14" s="1"/>
  <c r="BJ10" i="14"/>
  <c r="BV10" i="14" s="1"/>
  <c r="BJ11" i="14"/>
  <c r="BV11" i="14" s="1"/>
  <c r="BJ12" i="14"/>
  <c r="BV12" i="14" s="1"/>
  <c r="BJ6" i="14"/>
  <c r="BI7" i="14"/>
  <c r="BU7" i="14" s="1"/>
  <c r="BI8" i="14"/>
  <c r="BU8" i="14" s="1"/>
  <c r="BI9" i="14"/>
  <c r="BU9" i="14" s="1"/>
  <c r="BI10" i="14"/>
  <c r="BU10" i="14" s="1"/>
  <c r="BI11" i="14"/>
  <c r="BU11" i="14" s="1"/>
  <c r="BI12" i="14"/>
  <c r="BU12" i="14" s="1"/>
  <c r="BI6" i="14"/>
  <c r="BH8" i="14"/>
  <c r="BT8" i="14" s="1"/>
  <c r="BH10" i="14"/>
  <c r="BT10" i="14" s="1"/>
  <c r="BH11" i="14"/>
  <c r="BT11" i="14" s="1"/>
  <c r="BH12" i="14"/>
  <c r="BT12" i="14" s="1"/>
  <c r="BH6" i="14"/>
  <c r="BS7" i="14"/>
  <c r="BG8" i="14"/>
  <c r="BS8" i="14" s="1"/>
  <c r="BG9" i="14"/>
  <c r="BS9" i="14" s="1"/>
  <c r="BG10" i="14"/>
  <c r="BS10" i="14" s="1"/>
  <c r="BG11" i="14"/>
  <c r="BS11" i="14" s="1"/>
  <c r="BG12" i="14"/>
  <c r="BS12" i="14" s="1"/>
  <c r="BG6" i="14"/>
  <c r="BF7" i="14"/>
  <c r="BR7" i="14" s="1"/>
  <c r="BF8" i="14"/>
  <c r="BR8" i="14" s="1"/>
  <c r="BF9" i="14"/>
  <c r="BR9" i="14" s="1"/>
  <c r="BF10" i="14"/>
  <c r="BR10" i="14" s="1"/>
  <c r="BF11" i="14"/>
  <c r="BR11" i="14" s="1"/>
  <c r="BF12" i="14"/>
  <c r="BR12" i="14" s="1"/>
  <c r="BF6" i="14"/>
  <c r="BE7" i="14"/>
  <c r="BQ7" i="14" s="1"/>
  <c r="BE8" i="14"/>
  <c r="BQ8" i="14" s="1"/>
  <c r="BQ9" i="14"/>
  <c r="BQ10" i="14"/>
  <c r="BE11" i="14"/>
  <c r="BQ11" i="14" s="1"/>
  <c r="BE12" i="14"/>
  <c r="BQ12" i="14" s="1"/>
  <c r="BD7" i="14"/>
  <c r="BP7" i="14" s="1"/>
  <c r="BD8" i="14"/>
  <c r="BP8" i="14" s="1"/>
  <c r="BD9" i="14"/>
  <c r="BP9" i="14" s="1"/>
  <c r="BD10" i="14"/>
  <c r="BP10" i="14" s="1"/>
  <c r="BD11" i="14"/>
  <c r="BP11" i="14" s="1"/>
  <c r="BD12" i="14"/>
  <c r="BP12" i="14" s="1"/>
  <c r="BD6" i="14"/>
  <c r="BC7" i="14"/>
  <c r="BO7" i="14" s="1"/>
  <c r="BC8" i="14"/>
  <c r="BO8" i="14" s="1"/>
  <c r="BC9" i="14"/>
  <c r="BO9" i="14" s="1"/>
  <c r="BC11" i="14"/>
  <c r="BO11" i="14" s="1"/>
  <c r="BC12" i="14"/>
  <c r="BO12" i="14" s="1"/>
  <c r="BC6" i="14"/>
  <c r="BN7" i="14"/>
  <c r="BB8" i="14"/>
  <c r="BN8" i="14" s="1"/>
  <c r="BB9" i="14"/>
  <c r="BN9" i="14" s="1"/>
  <c r="BB10" i="14"/>
  <c r="BN10" i="14" s="1"/>
  <c r="BB11" i="14"/>
  <c r="BN11" i="14" s="1"/>
  <c r="BN12" i="14"/>
  <c r="BB6" i="14"/>
  <c r="BA8" i="14"/>
  <c r="BM8" i="14" s="1"/>
  <c r="BA9" i="14"/>
  <c r="BM9" i="14" s="1"/>
  <c r="BA10" i="14"/>
  <c r="BM10" i="14" s="1"/>
  <c r="BA11" i="14"/>
  <c r="BM11" i="14" s="1"/>
  <c r="BA12" i="14"/>
  <c r="BM12" i="14" s="1"/>
  <c r="AZ8" i="14"/>
  <c r="BL8" i="14" s="1"/>
  <c r="AZ9" i="14"/>
  <c r="BL9" i="14" s="1"/>
  <c r="AZ10" i="14"/>
  <c r="BL10" i="14" s="1"/>
  <c r="AZ11" i="14"/>
  <c r="BL11" i="14" s="1"/>
  <c r="AZ12" i="14"/>
  <c r="BL12" i="14" s="1"/>
  <c r="AY8" i="14"/>
  <c r="BK8" i="14" s="1"/>
  <c r="AY11" i="14"/>
  <c r="BK11" i="14" s="1"/>
  <c r="AY12" i="14"/>
  <c r="BK12" i="14" s="1"/>
  <c r="AY6" i="14"/>
  <c r="BK6" i="14" s="1"/>
  <c r="B16" i="14" s="1"/>
  <c r="AM6" i="14"/>
  <c r="AM12" i="14"/>
  <c r="AN6" i="14"/>
  <c r="AN7" i="14"/>
  <c r="AN8" i="14"/>
  <c r="AN11" i="14"/>
  <c r="AN12" i="14"/>
  <c r="AO7" i="14"/>
  <c r="AO8" i="14"/>
  <c r="AP6" i="14"/>
  <c r="AP7" i="14"/>
  <c r="AP8" i="14"/>
  <c r="AP11" i="14"/>
  <c r="AP12" i="14"/>
  <c r="AQ6" i="14"/>
  <c r="AQ8" i="14"/>
  <c r="AQ12" i="14"/>
  <c r="AR6" i="14"/>
  <c r="AR8" i="14"/>
  <c r="AR12" i="14"/>
  <c r="AS6" i="14"/>
  <c r="AS8" i="14"/>
  <c r="AS12" i="14"/>
  <c r="AT6" i="14"/>
  <c r="AT8" i="14"/>
  <c r="AQ11" i="14"/>
  <c r="AW7" i="14"/>
  <c r="AX6" i="14"/>
  <c r="AV11" i="14"/>
  <c r="AV6" i="14"/>
  <c r="AU6" i="14"/>
  <c r="AU7" i="14"/>
  <c r="AU8" i="14"/>
  <c r="AU10" i="14"/>
  <c r="AU11" i="14"/>
  <c r="AU12" i="14"/>
  <c r="AV12" i="14"/>
  <c r="AV8" i="14"/>
  <c r="AV10" i="14"/>
  <c r="AT12" i="14"/>
  <c r="AT11" i="14"/>
  <c r="AT7" i="14"/>
  <c r="AW6" i="14"/>
  <c r="AW8" i="14"/>
  <c r="AW10" i="14"/>
  <c r="AW12" i="14"/>
  <c r="AX8" i="14"/>
  <c r="AX11" i="14"/>
  <c r="AA11" i="14"/>
  <c r="AA10" i="14"/>
  <c r="AA9" i="14"/>
  <c r="AA8" i="14"/>
  <c r="AA7" i="14"/>
  <c r="AA6" i="14"/>
  <c r="O12" i="14"/>
  <c r="AB12" i="14" s="1"/>
  <c r="AB10" i="14"/>
  <c r="P12" i="14"/>
  <c r="P11" i="14"/>
  <c r="AC7" i="14"/>
  <c r="AD12" i="14"/>
  <c r="Q11" i="14"/>
  <c r="AD11" i="14" s="1"/>
  <c r="AD10" i="14"/>
  <c r="AD9" i="14"/>
  <c r="Q8" i="14"/>
  <c r="AD8" i="14" s="1"/>
  <c r="AD7" i="14"/>
  <c r="AD6" i="14"/>
  <c r="BN6" i="14" s="1"/>
  <c r="AE12" i="14"/>
  <c r="AE11" i="14"/>
  <c r="AE10" i="14"/>
  <c r="AE9" i="14"/>
  <c r="R8" i="14"/>
  <c r="AE8" i="14" s="1"/>
  <c r="R7" i="14"/>
  <c r="AE7" i="14" s="1"/>
  <c r="AE6" i="14"/>
  <c r="BO6" i="14" s="1"/>
  <c r="S12" i="14"/>
  <c r="AF12" i="14" s="1"/>
  <c r="S11" i="14"/>
  <c r="AF11" i="14" s="1"/>
  <c r="AF10" i="14"/>
  <c r="AF9" i="14"/>
  <c r="S8" i="14"/>
  <c r="AF8" i="14" s="1"/>
  <c r="S7" i="14"/>
  <c r="AF7" i="14" s="1"/>
  <c r="AF6" i="14"/>
  <c r="BP6" i="14" s="1"/>
  <c r="T12" i="14"/>
  <c r="AG12" i="14" s="1"/>
  <c r="T11" i="14"/>
  <c r="AG11" i="14" s="1"/>
  <c r="T10" i="14"/>
  <c r="AG10" i="14" s="1"/>
  <c r="AG9" i="14"/>
  <c r="T8" i="14"/>
  <c r="AG8" i="14" s="1"/>
  <c r="T7" i="14"/>
  <c r="AG7" i="14" s="1"/>
  <c r="AG6" i="14"/>
  <c r="BQ6" i="14" s="1"/>
  <c r="AH12" i="14"/>
  <c r="U11" i="14"/>
  <c r="AH11" i="14" s="1"/>
  <c r="U10" i="14"/>
  <c r="AH10" i="14" s="1"/>
  <c r="AH9" i="14"/>
  <c r="U8" i="14"/>
  <c r="AH8" i="14" s="1"/>
  <c r="AH7" i="14"/>
  <c r="AH6" i="14"/>
  <c r="BR6" i="14" s="1"/>
  <c r="AI12" i="14"/>
  <c r="AI9" i="14"/>
  <c r="AI6" i="14"/>
  <c r="BS6" i="14" s="1"/>
  <c r="AJ11" i="14"/>
  <c r="AJ10" i="14"/>
  <c r="AJ9" i="14"/>
  <c r="AJ8" i="14"/>
  <c r="AJ7" i="14"/>
  <c r="AJ6" i="14"/>
  <c r="BT6" i="14" s="1"/>
  <c r="AK12" i="14"/>
  <c r="AK11" i="14"/>
  <c r="AK10" i="14"/>
  <c r="AK9" i="14"/>
  <c r="AK8" i="14"/>
  <c r="AK7" i="14"/>
  <c r="AK6" i="14"/>
  <c r="BU6" i="14" s="1"/>
  <c r="AL12" i="14"/>
  <c r="AL11" i="14"/>
  <c r="AL10" i="14"/>
  <c r="AL9" i="14"/>
  <c r="AL8" i="14"/>
  <c r="AL7" i="14"/>
  <c r="AL6" i="14"/>
  <c r="BV6" i="14" s="1"/>
  <c r="BL6" i="14"/>
  <c r="C16" i="14" s="1"/>
  <c r="C6" i="7" s="1"/>
  <c r="AC6" i="14"/>
  <c r="BM6" i="14" s="1"/>
  <c r="D16" i="14" s="1"/>
  <c r="D6" i="7" s="1"/>
  <c r="AB8" i="14"/>
  <c r="AI8" i="14"/>
  <c r="AB9" i="14"/>
  <c r="AI10" i="14"/>
  <c r="AB11" i="14"/>
  <c r="AI11" i="14"/>
  <c r="AA12" i="14"/>
  <c r="AJ12" i="14"/>
  <c r="O12" i="10"/>
  <c r="AB12" i="10" s="1"/>
  <c r="AB10" i="10"/>
  <c r="AZ10" i="10" s="1"/>
  <c r="AI10" i="10"/>
  <c r="BG10" i="10" s="1"/>
  <c r="AC10" i="10"/>
  <c r="BA10" i="10" s="1"/>
  <c r="AD6" i="10"/>
  <c r="Q10" i="10"/>
  <c r="AE6" i="10"/>
  <c r="R10" i="10"/>
  <c r="AF6" i="10"/>
  <c r="S10" i="10"/>
  <c r="AG6" i="10"/>
  <c r="T10" i="10"/>
  <c r="AH6" i="10"/>
  <c r="U10" i="10"/>
  <c r="AM12" i="10"/>
  <c r="AX12" i="10"/>
  <c r="AW12" i="10"/>
  <c r="AV12" i="10"/>
  <c r="AU12" i="10"/>
  <c r="AT12" i="10"/>
  <c r="AS12" i="10"/>
  <c r="AR12" i="10"/>
  <c r="AQ12" i="10"/>
  <c r="AP12" i="10"/>
  <c r="AO12" i="10"/>
  <c r="AN12" i="10"/>
  <c r="AA11" i="10"/>
  <c r="AA9" i="10"/>
  <c r="AA7" i="10"/>
  <c r="V12" i="10"/>
  <c r="AI12" i="10" s="1"/>
  <c r="AI6" i="10"/>
  <c r="AJ7" i="10"/>
  <c r="AJ8" i="10"/>
  <c r="AJ9" i="10"/>
  <c r="AJ11" i="10"/>
  <c r="AJ6" i="10"/>
  <c r="BH6" i="10" s="1"/>
  <c r="M17" i="10" s="1"/>
  <c r="M20" i="10" s="1"/>
  <c r="AK7" i="10"/>
  <c r="AK8" i="10"/>
  <c r="AK9" i="10"/>
  <c r="AK11" i="10"/>
  <c r="AK12" i="10"/>
  <c r="AK6" i="10"/>
  <c r="BI6" i="10" s="1"/>
  <c r="AL7" i="10"/>
  <c r="AL8" i="10"/>
  <c r="AL9" i="10"/>
  <c r="AL11" i="10"/>
  <c r="AL12" i="10"/>
  <c r="AL6" i="10"/>
  <c r="AC6" i="10"/>
  <c r="AB11" i="10"/>
  <c r="AB9" i="10"/>
  <c r="AA12" i="10"/>
  <c r="AI7" i="10"/>
  <c r="AI11" i="10"/>
  <c r="AI9" i="10"/>
  <c r="AI8" i="10"/>
  <c r="AJ12" i="10"/>
  <c r="P8" i="10"/>
  <c r="AC8" i="10" s="1"/>
  <c r="P11" i="10"/>
  <c r="AC11" i="10" s="1"/>
  <c r="P12" i="10"/>
  <c r="AC12" i="10" s="1"/>
  <c r="P7" i="10"/>
  <c r="AC7" i="10" s="1"/>
  <c r="Q8" i="10"/>
  <c r="AD8" i="10" s="1"/>
  <c r="AD9" i="10"/>
  <c r="Q11" i="10"/>
  <c r="AD11" i="10" s="1"/>
  <c r="Q12" i="10"/>
  <c r="AD12" i="10" s="1"/>
  <c r="Q7" i="10"/>
  <c r="AD7" i="10" s="1"/>
  <c r="R8" i="10"/>
  <c r="AE8" i="10" s="1"/>
  <c r="AE9" i="10"/>
  <c r="R11" i="10"/>
  <c r="AE11" i="10" s="1"/>
  <c r="R12" i="10"/>
  <c r="AE12" i="10" s="1"/>
  <c r="AE7" i="10"/>
  <c r="BC7" i="10" s="1"/>
  <c r="H17" i="10" s="1"/>
  <c r="H20" i="10" s="1"/>
  <c r="S8" i="10"/>
  <c r="AF8" i="10" s="1"/>
  <c r="AF9" i="10"/>
  <c r="S11" i="10"/>
  <c r="AF11" i="10" s="1"/>
  <c r="S12" i="10"/>
  <c r="AF12" i="10" s="1"/>
  <c r="S7" i="10"/>
  <c r="AF7" i="10" s="1"/>
  <c r="T8" i="10"/>
  <c r="AG8" i="10" s="1"/>
  <c r="AG9" i="10"/>
  <c r="T11" i="10"/>
  <c r="AG11" i="10" s="1"/>
  <c r="T12" i="10"/>
  <c r="AG12" i="10" s="1"/>
  <c r="T7" i="10"/>
  <c r="AG7" i="10" s="1"/>
  <c r="U8" i="10"/>
  <c r="AH8" i="10" s="1"/>
  <c r="AH9" i="10"/>
  <c r="U11" i="10"/>
  <c r="AH11" i="10" s="1"/>
  <c r="U12" i="10"/>
  <c r="AH12" i="10" s="1"/>
  <c r="U7" i="10"/>
  <c r="AH7" i="10" s="1"/>
  <c r="AM11" i="10"/>
  <c r="AX11" i="10"/>
  <c r="AW11" i="10"/>
  <c r="AV11" i="10"/>
  <c r="AU11" i="10"/>
  <c r="AT11" i="10"/>
  <c r="AS11" i="10"/>
  <c r="AR11" i="10"/>
  <c r="AQ11" i="10"/>
  <c r="AP11" i="10"/>
  <c r="AO11" i="10"/>
  <c r="AN11" i="10"/>
  <c r="C13" i="12"/>
  <c r="N7" i="13"/>
  <c r="N6" i="13"/>
  <c r="H5" i="13"/>
  <c r="G5" i="13"/>
  <c r="N5" i="13"/>
  <c r="J33" i="2"/>
  <c r="V33" i="2" s="1"/>
  <c r="J34" i="2"/>
  <c r="V34" i="2" s="1"/>
  <c r="I31" i="2"/>
  <c r="U31" i="2" s="1"/>
  <c r="I32" i="2"/>
  <c r="U32" i="2" s="1"/>
  <c r="I30" i="2"/>
  <c r="H31" i="2"/>
  <c r="T31" i="2" s="1"/>
  <c r="H32" i="2"/>
  <c r="T32" i="2" s="1"/>
  <c r="P30" i="2"/>
  <c r="AB30" i="2" s="1"/>
  <c r="P31" i="2"/>
  <c r="AB31" i="2" s="1"/>
  <c r="P32" i="2"/>
  <c r="AB32" i="2" s="1"/>
  <c r="O30" i="2"/>
  <c r="AA30" i="2" s="1"/>
  <c r="O31" i="2"/>
  <c r="AA31" i="2" s="1"/>
  <c r="O32" i="2"/>
  <c r="AA32" i="2" s="1"/>
  <c r="N30" i="2"/>
  <c r="Z30" i="2" s="1"/>
  <c r="N31" i="2"/>
  <c r="Z31" i="2" s="1"/>
  <c r="N32" i="2"/>
  <c r="Z32" i="2" s="1"/>
  <c r="M30" i="2"/>
  <c r="Y30" i="2" s="1"/>
  <c r="M31" i="2"/>
  <c r="Y31" i="2" s="1"/>
  <c r="M32" i="2"/>
  <c r="Y32" i="2" s="1"/>
  <c r="L30" i="2"/>
  <c r="X30" i="2" s="1"/>
  <c r="L31" i="2"/>
  <c r="X31" i="2" s="1"/>
  <c r="L32" i="2"/>
  <c r="X32" i="2" s="1"/>
  <c r="K30" i="2"/>
  <c r="W30" i="2" s="1"/>
  <c r="K31" i="2"/>
  <c r="W31" i="2" s="1"/>
  <c r="K32" i="2"/>
  <c r="W32" i="2" s="1"/>
  <c r="J30" i="2"/>
  <c r="V30" i="2" s="1"/>
  <c r="J31" i="2"/>
  <c r="V31" i="2" s="1"/>
  <c r="J32" i="2"/>
  <c r="V32" i="2" s="1"/>
  <c r="T26" i="2"/>
  <c r="T27" i="2"/>
  <c r="T28" i="2"/>
  <c r="T29" i="2"/>
  <c r="T25" i="2"/>
  <c r="B5" i="2" s="1"/>
  <c r="AB27" i="2"/>
  <c r="AB28" i="2"/>
  <c r="AB29" i="2"/>
  <c r="AB26" i="2"/>
  <c r="J5" i="2" s="1"/>
  <c r="O27" i="2"/>
  <c r="AA27" i="2" s="1"/>
  <c r="O28" i="2"/>
  <c r="AA28" i="2" s="1"/>
  <c r="O29" i="2"/>
  <c r="AA29" i="2" s="1"/>
  <c r="O26" i="2"/>
  <c r="AA26" i="2" s="1"/>
  <c r="I5" i="2" s="1"/>
  <c r="N27" i="2"/>
  <c r="Z27" i="2" s="1"/>
  <c r="N28" i="2"/>
  <c r="Z28" i="2" s="1"/>
  <c r="N29" i="2"/>
  <c r="Z29" i="2" s="1"/>
  <c r="N26" i="2"/>
  <c r="Z26" i="2" s="1"/>
  <c r="H5" i="2" s="1"/>
  <c r="M27" i="2"/>
  <c r="Y27" i="2" s="1"/>
  <c r="M28" i="2"/>
  <c r="Y28" i="2" s="1"/>
  <c r="M29" i="2"/>
  <c r="Y29" i="2" s="1"/>
  <c r="M26" i="2"/>
  <c r="Y26" i="2" s="1"/>
  <c r="G5" i="2" s="1"/>
  <c r="L27" i="2"/>
  <c r="X27" i="2" s="1"/>
  <c r="L28" i="2"/>
  <c r="X28" i="2" s="1"/>
  <c r="L29" i="2"/>
  <c r="X29" i="2" s="1"/>
  <c r="L26" i="2"/>
  <c r="X26" i="2" s="1"/>
  <c r="F5" i="2" s="1"/>
  <c r="K27" i="2"/>
  <c r="W27" i="2" s="1"/>
  <c r="K28" i="2"/>
  <c r="W28" i="2" s="1"/>
  <c r="K29" i="2"/>
  <c r="W29" i="2" s="1"/>
  <c r="K26" i="2"/>
  <c r="W26" i="2" s="1"/>
  <c r="E5" i="2" s="1"/>
  <c r="J27" i="2"/>
  <c r="V27" i="2" s="1"/>
  <c r="J28" i="2"/>
  <c r="V28" i="2" s="1"/>
  <c r="J29" i="2"/>
  <c r="V29" i="2" s="1"/>
  <c r="J26" i="2"/>
  <c r="V26" i="2" s="1"/>
  <c r="V25" i="2"/>
  <c r="D5" i="2" s="1"/>
  <c r="D6" i="8" s="1"/>
  <c r="U27" i="2"/>
  <c r="U28" i="2"/>
  <c r="U29" i="2"/>
  <c r="U26" i="2"/>
  <c r="C5" i="2"/>
  <c r="C17" i="14" l="1"/>
  <c r="D6" i="2"/>
  <c r="AH10" i="10"/>
  <c r="BF10" i="10" s="1"/>
  <c r="AG10" i="10"/>
  <c r="BE10" i="10" s="1"/>
  <c r="AF10" i="10"/>
  <c r="BD10" i="10" s="1"/>
  <c r="AE10" i="10"/>
  <c r="BC10" i="10" s="1"/>
  <c r="AD10" i="10"/>
  <c r="BB10" i="10" s="1"/>
  <c r="U30" i="2"/>
  <c r="C6" i="2" s="1"/>
  <c r="E6" i="2"/>
  <c r="F6" i="2"/>
  <c r="G6" i="2"/>
  <c r="H6" i="2"/>
  <c r="I6" i="2"/>
  <c r="J6" i="2"/>
  <c r="B6" i="2"/>
  <c r="N6" i="2" s="1"/>
  <c r="D7" i="2"/>
  <c r="N7" i="2" s="1"/>
  <c r="N5" i="2"/>
  <c r="D7" i="8" l="1"/>
  <c r="C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Ho</author>
  </authors>
  <commentList>
    <comment ref="Z3" authorId="0" shapeId="0" xr:uid="{258B199C-F51A-4399-8C8D-68BFD2AA5EC3}">
      <text>
        <r>
          <rPr>
            <sz val="11"/>
            <color theme="1"/>
            <rFont val="Calibri"/>
            <family val="2"/>
            <scheme val="minor"/>
          </rPr>
          <t>Erick Ho:
Số giờ billable * bonus amount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Ho</author>
  </authors>
  <commentList>
    <comment ref="Z3" authorId="0" shapeId="0" xr:uid="{6CBF9A02-1998-4441-814B-CC12CC373F22}">
      <text>
        <r>
          <rPr>
            <sz val="11"/>
            <color theme="1"/>
            <rFont val="Calibri"/>
            <family val="2"/>
            <scheme val="minor"/>
          </rPr>
          <t>Erick Ho:
Số giờ billable * bonus amount</t>
        </r>
      </text>
    </comment>
  </commentList>
</comments>
</file>

<file path=xl/sharedStrings.xml><?xml version="1.0" encoding="utf-8"?>
<sst xmlns="http://schemas.openxmlformats.org/spreadsheetml/2006/main" count="859" uniqueCount="332">
  <si>
    <t>Title</t>
  </si>
  <si>
    <t>Type</t>
  </si>
  <si>
    <t>Name</t>
  </si>
  <si>
    <t>Formula</t>
  </si>
  <si>
    <t>Source</t>
  </si>
  <si>
    <t>Note</t>
  </si>
  <si>
    <t>Forecast Revenue</t>
  </si>
  <si>
    <t>Fix cost</t>
  </si>
  <si>
    <t xml:space="preserve">Revenue for Fix cost project (Monthly)  </t>
  </si>
  <si>
    <t>Contract revenue * (This month complete rate - Last month complete rate)</t>
  </si>
  <si>
    <t>Contract revenue: projects_contract.contract_revenue</t>
  </si>
  <si>
    <t xml:space="preserve"> - Plan working day (month) = End date of the month - start date - (weekends + holidays)</t>
  </si>
  <si>
    <t>(if End date of the month &lt; start date)</t>
  </si>
  <si>
    <t>Complete rate: fixcost_delivery_plan.complete_rate</t>
  </si>
  <si>
    <t xml:space="preserve"> - Plan working day (month) = End date - start date of the month - (weekends + holidays)</t>
  </si>
  <si>
    <t>(if End date &gt; First date of the month)</t>
  </si>
  <si>
    <t>Fix cost member</t>
  </si>
  <si>
    <t>Revenue for Fix cost member</t>
  </si>
  <si>
    <t>(working hours in month / (total member * working hours in month)) * Employee performance rate * Month Forecast Project revenue</t>
  </si>
  <si>
    <t>Employee Performance Rate: "tabProject User".performance_rate
Month Forecast Project revenue: fixcost_delivery_plan.complete_rate</t>
  </si>
  <si>
    <t>Teambase member</t>
  </si>
  <si>
    <t>Revenue for Teambase member (Monthly)</t>
  </si>
  <si>
    <t>Headcount rate * Total forecast hour</t>
  </si>
  <si>
    <t>Employee rate: project_contract_headcount.rate</t>
  </si>
  <si>
    <t>Total forecast hour = 8 * Plan working day in month</t>
  </si>
  <si>
    <t>Teambase</t>
  </si>
  <si>
    <t>Revenue for Teambase project (Monthly)</t>
  </si>
  <si>
    <t>Sum(Revenue for Teambase Members)</t>
  </si>
  <si>
    <t xml:space="preserve">Division </t>
  </si>
  <si>
    <t>Revenue Division</t>
  </si>
  <si>
    <t>Sum (Revenue Fix cost project) + Sum (Revenue Teambase project)</t>
  </si>
  <si>
    <t>Company</t>
  </si>
  <si>
    <t>Revenue Company</t>
  </si>
  <si>
    <t>Sum (Revenue Division)</t>
  </si>
  <si>
    <t>Actual Revenue</t>
  </si>
  <si>
    <t>Contract revenue * (This month actual complete rate - Last month actual complete rate)</t>
  </si>
  <si>
    <t>actual complete rate: fixcost_delivery_plan.actual_complete_rate</t>
  </si>
  <si>
    <t>Employee rate * Total actual hour</t>
  </si>
  <si>
    <t>employee = "tabProject User".employee_code</t>
  </si>
  <si>
    <t>Sum (Revenue for Teambase member)</t>
  </si>
  <si>
    <t>Market</t>
  </si>
  <si>
    <t>Revenue for Market</t>
  </si>
  <si>
    <t>Sum (Revenue project by Market)</t>
  </si>
  <si>
    <t>All Market</t>
  </si>
  <si>
    <t>Revenue for All Market</t>
  </si>
  <si>
    <t>Sum (Revenue project all Market)</t>
  </si>
  <si>
    <t>Division</t>
  </si>
  <si>
    <t>Sum (Revenue Fix cost project) + Sum (Revenue Teambase Project)</t>
  </si>
  <si>
    <t>Forecast cost</t>
  </si>
  <si>
    <t>Member</t>
  </si>
  <si>
    <t xml:space="preserve">Cost for member (Monthly)  </t>
  </si>
  <si>
    <t>[Direct cost * (plan working day/total working day in month) + Project Bonus * (plan working day in month/total working day in month)</t>
  </si>
  <si>
    <t xml:space="preserve">Cost for Fix cost project (Monthly)  </t>
  </si>
  <si>
    <r>
      <rPr>
        <sz val="11"/>
        <color rgb="FF000000"/>
        <rFont val="Calibri"/>
      </rPr>
      <t xml:space="preserve">SUM(cost for fix cost member in month) + </t>
    </r>
    <r>
      <rPr>
        <sz val="11"/>
        <color rgb="FFFF0000"/>
        <rFont val="Calibri"/>
      </rPr>
      <t>(project_package * plan_working_day/total_working_day_in_month)</t>
    </r>
  </si>
  <si>
    <t>project_package: fixcost_project_package</t>
  </si>
  <si>
    <t xml:space="preserve">Teambase </t>
  </si>
  <si>
    <t>Cost for Teambase project (Monthly)</t>
  </si>
  <si>
    <t>SUM(cost for teambase member in month)</t>
  </si>
  <si>
    <t>Cost for Division</t>
  </si>
  <si>
    <t>SUM (cost for all project)</t>
  </si>
  <si>
    <t>Cost for company</t>
  </si>
  <si>
    <t>SUM (cost all division)</t>
  </si>
  <si>
    <t>Actual cost</t>
  </si>
  <si>
    <t>[Direct cost * (actual working day/total working day in month) + Project Bonus * (actual working day in month/total working day in month) + Salary * (OT hour/8/total working day in month)]</t>
  </si>
  <si>
    <t>Direct cost: employee_direct_cost.direct_cost
Project Bonus: employee_direct_cost.project_bonus</t>
  </si>
  <si>
    <t>Cost for Fix cost</t>
  </si>
  <si>
    <r>
      <rPr>
        <sz val="11"/>
        <color rgb="FF000000"/>
        <rFont val="Calibri"/>
      </rPr>
      <t xml:space="preserve">SUM (cost for fix cost member in month)+ </t>
    </r>
    <r>
      <rPr>
        <sz val="11"/>
        <color rgb="FFFF0000"/>
        <rFont val="Calibri"/>
      </rPr>
      <t>(project_package * actual_working_day_in_month/total_working_day_in_month)</t>
    </r>
  </si>
  <si>
    <t>Cost for Teambase</t>
  </si>
  <si>
    <t>SUM (cost for teambase member in month)</t>
  </si>
  <si>
    <t>Member: "tabProject User".employee_code</t>
  </si>
  <si>
    <t>Project expense</t>
  </si>
  <si>
    <t>Cost for Project expense</t>
  </si>
  <si>
    <t>SUM (cost for fix cost project in month) + SUM (cost for teambase project in month)</t>
  </si>
  <si>
    <t>Human resource</t>
  </si>
  <si>
    <t>Cost for Human resource</t>
  </si>
  <si>
    <t>SUM (Headcount rate*total interview hour)</t>
  </si>
  <si>
    <t>Tranning, Resource pool</t>
  </si>
  <si>
    <t>Cost for Trainning, RP</t>
  </si>
  <si>
    <t>SUM (Headcount rate*total join in trainning/RP hour)</t>
  </si>
  <si>
    <t>Presale</t>
  </si>
  <si>
    <t>Cost for Presale</t>
  </si>
  <si>
    <t>SUM (Headcount rate*total join in Presale project hour)</t>
  </si>
  <si>
    <t>Cost for division</t>
  </si>
  <si>
    <t>SUM(cost for all project)</t>
  </si>
  <si>
    <t>Actual Revenue Percentage</t>
  </si>
  <si>
    <t>Actual revenue percentage  for fix cost project</t>
  </si>
  <si>
    <t>Actual revenue percentage  for teambase project</t>
  </si>
  <si>
    <t>(Actual revenue teambase project in month/Actual revenue all project type in month)*100%</t>
  </si>
  <si>
    <t>Actual revenue percentage for market</t>
  </si>
  <si>
    <t>(Actual revenue market in month/Actual revenue all market in month)*100%</t>
  </si>
  <si>
    <t>Actual revenue percentage for division (monthly)</t>
  </si>
  <si>
    <t>(Actual revenue division in month/Actual revenue company in month)*100%</t>
  </si>
  <si>
    <t>Actual Cost Percentage</t>
  </si>
  <si>
    <t>Actual cost percentage for fix cost project</t>
  </si>
  <si>
    <t>(Actual cost for fix cost project in month/Actual cost for all project type in month)*100%</t>
  </si>
  <si>
    <t>Actual cost percentage for teambase project</t>
  </si>
  <si>
    <t>(Actual cost for teambase project in month/Actual cost for all project type in month)*100%</t>
  </si>
  <si>
    <t>Actual cost percentage for project expense</t>
  </si>
  <si>
    <t>Actual cost percentage for fixcost + Actual cost percentage for teambase</t>
  </si>
  <si>
    <t>Actual cost percentage for human resource project</t>
  </si>
  <si>
    <t>(Actual cost for all human resource project/Actual cost all project type in month)*100%</t>
  </si>
  <si>
    <t>Training, RP</t>
  </si>
  <si>
    <t>Actual cost percentage for Training, RP project</t>
  </si>
  <si>
    <t>(Actual cost for all Training, RP project/Actual cost all project type in month)*100%</t>
  </si>
  <si>
    <t>Actual cost percentage for _x0008_Presale project</t>
  </si>
  <si>
    <t>(Actual cost for all Presale project/Actual cost all project type in month)*100%</t>
  </si>
  <si>
    <t>Actual cost percentage for division (monthly)</t>
  </si>
  <si>
    <t>(Actual cost division in month/Actual cost company in month)*100%</t>
  </si>
  <si>
    <t>P&amp;L forecast</t>
  </si>
  <si>
    <t>P&amp;L forecast for division</t>
  </si>
  <si>
    <t>(Cost forecast division / Revenue forecast division)*100%</t>
  </si>
  <si>
    <t>P&amp;L forecast for company</t>
  </si>
  <si>
    <t>(Cost forecast company / Revenue forecast _x000D_company)*100%</t>
  </si>
  <si>
    <t>P&amp;L actual</t>
  </si>
  <si>
    <t>P&amp;L actual for division</t>
  </si>
  <si>
    <t>(Cost actual division / Revenue _x000D_actual division)*100%</t>
  </si>
  <si>
    <t>P&amp;L actual for company</t>
  </si>
  <si>
    <t>(Cost actual division / Revenue forecast division)*100%</t>
  </si>
  <si>
    <t xml:space="preserve">Billable rate </t>
  </si>
  <si>
    <t>Billable rate for division</t>
  </si>
  <si>
    <t>(Total headcount in division billable project / Total headcount in division)*100%</t>
  </si>
  <si>
    <t>Billable rate for company</t>
  </si>
  <si>
    <t>(Total headcount in all billable project / Total headcount in company)*100%</t>
  </si>
  <si>
    <t>Busy rate</t>
  </si>
  <si>
    <t>Busy rate for company</t>
  </si>
  <si>
    <t>(Total headcount in BILLABLE +  HUMAN RESOURCE project / Total headcount in company)*100% 
(exclude: presale/internal/training project)</t>
  </si>
  <si>
    <t>Busy rate for division</t>
  </si>
  <si>
    <t>(Total headcount in division BILLABLE +  HUMAN RESOURCE project / Total headcount in division)*100% 
(exclude: presale/internal/training project)</t>
  </si>
  <si>
    <t>Available Headcount</t>
  </si>
  <si>
    <t>_x000D_Division</t>
  </si>
  <si>
    <t>Available headcount for division_x000D_</t>
  </si>
  <si>
    <t>COUNT Total headcount in POOL project in Division</t>
  </si>
  <si>
    <t>_x000D_Company</t>
  </si>
  <si>
    <t>Available headcount for company</t>
  </si>
  <si>
    <t>_x001D_SUM (Total headcount in POOL project in _x000D_Division)</t>
  </si>
  <si>
    <t>Dev Average Salary</t>
  </si>
  <si>
    <t>Dev Average salary for division</t>
  </si>
  <si>
    <t>Total salary of all headcount in division / Total division headcount</t>
  </si>
  <si>
    <t>Dev Average salary for company</t>
  </si>
  <si>
    <t>Total salary of all headcount in company / Total company headcount</t>
  </si>
  <si>
    <r>
      <rPr>
        <b/>
        <sz val="11"/>
        <color rgb="FF000000"/>
        <rFont val="Calibri"/>
      </rPr>
      <t>Revenue for Employee A</t>
    </r>
    <r>
      <rPr>
        <sz val="11"/>
        <color rgb="FF000000"/>
        <rFont val="Calibri"/>
      </rPr>
      <t xml:space="preserve"> in Fixed cost project =</t>
    </r>
    <r>
      <rPr>
        <b/>
        <sz val="11"/>
        <color rgb="FF000000"/>
        <rFont val="Calibri"/>
      </rPr>
      <t xml:space="preserve"> </t>
    </r>
    <r>
      <rPr>
        <b/>
        <sz val="11"/>
        <color rgb="FF38761D"/>
        <rFont val="Calibri"/>
      </rPr>
      <t>Average revenue rate</t>
    </r>
    <r>
      <rPr>
        <sz val="11"/>
        <color rgb="FF000000"/>
        <rFont val="Calibri"/>
      </rPr>
      <t xml:space="preserve"> x </t>
    </r>
    <r>
      <rPr>
        <sz val="11"/>
        <color rgb="FFCC0000"/>
        <rFont val="Calibri"/>
      </rPr>
      <t>Effort rate</t>
    </r>
    <r>
      <rPr>
        <sz val="11"/>
        <color rgb="FF000000"/>
        <rFont val="Calibri"/>
      </rPr>
      <t xml:space="preserve"> (of Employee A)</t>
    </r>
  </si>
  <si>
    <r>
      <t>Effort rate</t>
    </r>
    <r>
      <rPr>
        <sz val="11"/>
        <color rgb="FF000000"/>
        <rFont val="Calibri"/>
        <family val="2"/>
        <charset val="1"/>
      </rPr>
      <t xml:space="preserve"> (Employee A) =  Total effort (Employee A) </t>
    </r>
    <r>
      <rPr>
        <b/>
        <sz val="11"/>
        <color rgb="FF000000"/>
        <rFont val="Calibri"/>
        <family val="2"/>
        <charset val="1"/>
      </rPr>
      <t>x</t>
    </r>
    <r>
      <rPr>
        <sz val="11"/>
        <color rgb="FF000000"/>
        <rFont val="Calibri"/>
        <family val="2"/>
        <charset val="1"/>
      </rPr>
      <t xml:space="preserve"> Performance rate (Employee A)</t>
    </r>
  </si>
  <si>
    <r>
      <t>Total effort</t>
    </r>
    <r>
      <rPr>
        <sz val="11"/>
        <color rgb="FF000000"/>
        <rFont val="Calibri"/>
        <family val="2"/>
        <charset val="1"/>
      </rPr>
      <t xml:space="preserve"> (per employee) = Number of Working days in a month x 8  x Effort rate</t>
    </r>
  </si>
  <si>
    <r>
      <t>Performance rate</t>
    </r>
    <r>
      <rPr>
        <i/>
        <sz val="11"/>
        <color rgb="FF000000"/>
        <rFont val="Calibri"/>
        <family val="2"/>
        <charset val="1"/>
      </rPr>
      <t>:</t>
    </r>
    <r>
      <rPr>
        <sz val="11"/>
        <color rgb="FF000000"/>
        <rFont val="Calibri"/>
        <family val="2"/>
        <charset val="1"/>
      </rPr>
      <t xml:space="preserve"> ranging from 0.1 - 0.3</t>
    </r>
  </si>
  <si>
    <r>
      <rPr>
        <b/>
        <sz val="11"/>
        <color rgb="FF38761D"/>
        <rFont val="Calibri"/>
      </rPr>
      <t>Average revenue rate</t>
    </r>
    <r>
      <rPr>
        <b/>
        <sz val="11"/>
        <color rgb="FF000000"/>
        <rFont val="Calibri"/>
      </rPr>
      <t xml:space="preserve"> </t>
    </r>
    <r>
      <rPr>
        <sz val="11"/>
        <color rgb="FF000000"/>
        <rFont val="Calibri"/>
      </rPr>
      <t>= Contract Revenue in a month/Total effort rate of all project employees</t>
    </r>
  </si>
  <si>
    <t>REVENUE (ACTUAL)</t>
  </si>
  <si>
    <t>Public Holiday</t>
  </si>
  <si>
    <t>Observed</t>
  </si>
  <si>
    <t>Total Forecast Revenue by Divison</t>
  </si>
  <si>
    <t>New Year Holiday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</si>
  <si>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</si>
  <si>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</si>
  <si>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</si>
  <si>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</si>
  <si>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</si>
  <si>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</si>
  <si>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</si>
  <si>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</si>
  <si>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</si>
  <si>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</si>
  <si>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</si>
  <si>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</si>
  <si>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YEAR TOTAL</t>
  </si>
  <si>
    <t>Lunar New Year (Tet) Holidays</t>
  </si>
  <si>
    <t>Division 1</t>
  </si>
  <si>
    <t>Division 2</t>
  </si>
  <si>
    <t>Division 3</t>
  </si>
  <si>
    <r>
      <rPr>
        <b/>
        <sz val="11"/>
        <color rgb="FF000000"/>
        <rFont val="Calibri"/>
      </rPr>
      <t>Project based =</t>
    </r>
    <r>
      <rPr>
        <sz val="11"/>
        <color rgb="FF000000"/>
        <rFont val="Calibri"/>
      </rPr>
      <t xml:space="preserve"> Total Contract Revenue * Actual Complete rate</t>
    </r>
  </si>
  <si>
    <t>FC</t>
  </si>
  <si>
    <t>Project based (Fix cost)</t>
  </si>
  <si>
    <t>Hung Kings Commemoration Day</t>
  </si>
  <si>
    <t xml:space="preserve"> Division </t>
  </si>
  <si>
    <t>Headcount</t>
  </si>
  <si>
    <t>Customer code</t>
  </si>
  <si>
    <t xml:space="preserve"> Project code </t>
  </si>
  <si>
    <t xml:space="preserve"> Start date </t>
  </si>
  <si>
    <t xml:space="preserve"> End date </t>
  </si>
  <si>
    <t>Complete rate</t>
  </si>
  <si>
    <t>Total Contract Revenue</t>
  </si>
  <si>
    <t xml:space="preserve"> Revenue 
T1</t>
  </si>
  <si>
    <t xml:space="preserve"> Revenue
 T2</t>
  </si>
  <si>
    <t xml:space="preserve"> Revenue
 T3</t>
  </si>
  <si>
    <t xml:space="preserve"> Revenue 
T4</t>
  </si>
  <si>
    <t xml:space="preserve"> Revenue 
T5</t>
  </si>
  <si>
    <t xml:space="preserve"> Revenue
 T6</t>
  </si>
  <si>
    <t xml:space="preserve"> Revenue 
T7</t>
  </si>
  <si>
    <t xml:space="preserve"> Revenue
 T8</t>
  </si>
  <si>
    <t xml:space="preserve"> Revenue
 T9</t>
  </si>
  <si>
    <t xml:space="preserve"> Revenue T10</t>
  </si>
  <si>
    <t xml:space="preserve"> Revenue T11</t>
  </si>
  <si>
    <t xml:space="preserve"> Revenue T12</t>
  </si>
  <si>
    <t>Victory Day</t>
  </si>
  <si>
    <t>International Labor Day</t>
  </si>
  <si>
    <t>AN1</t>
  </si>
  <si>
    <t>N/A</t>
  </si>
  <si>
    <t>National Day</t>
  </si>
  <si>
    <t>AN2</t>
  </si>
  <si>
    <t>AN3</t>
  </si>
  <si>
    <r>
      <rPr>
        <b/>
        <sz val="11"/>
        <color rgb="FF000000"/>
        <rFont val="Calibri"/>
      </rPr>
      <t xml:space="preserve">Team based = </t>
    </r>
    <r>
      <rPr>
        <sz val="11"/>
        <color rgb="FF000000"/>
        <rFont val="Calibri"/>
      </rPr>
      <t>Employee rate * Actual effort</t>
    </r>
  </si>
  <si>
    <t>TB</t>
  </si>
  <si>
    <t>Team based</t>
  </si>
  <si>
    <t>Employee code</t>
  </si>
  <si>
    <t>Employee Rate
($/hour)</t>
  </si>
  <si>
    <t>Effort (day/month)</t>
  </si>
  <si>
    <t>SAVHN001</t>
  </si>
  <si>
    <t>RAK</t>
  </si>
  <si>
    <t>SAVHN002</t>
  </si>
  <si>
    <t>SAVHN003</t>
  </si>
  <si>
    <t>SAVHN004</t>
  </si>
  <si>
    <t>SAVHN005</t>
  </si>
  <si>
    <t>SAVHN006</t>
  </si>
  <si>
    <t>BKT</t>
  </si>
  <si>
    <t>SAVHN007</t>
  </si>
  <si>
    <t>SAVHN008</t>
  </si>
  <si>
    <t>SAVHN009</t>
  </si>
  <si>
    <t>OMI</t>
  </si>
  <si>
    <t>SAVHN010</t>
  </si>
  <si>
    <t>Projecttype_mãKH_mã dự án (text/# - tối đa 3 ký tự)</t>
  </si>
  <si>
    <t>2_3_3</t>
  </si>
  <si>
    <t>[Fix cost] Revenue by member: = effort member/total effort * performance rate * monthly revenue</t>
  </si>
  <si>
    <t>busy rate tính trên effort (h): logged work</t>
  </si>
  <si>
    <t>Revenue Division = Revenue Fix cost + Revenue Teambase</t>
  </si>
  <si>
    <t xml:space="preserve">Revenue Fix cost (Monthly) = </t>
  </si>
  <si>
    <t>REVENUE (_x000D_FORECAST)</t>
  </si>
  <si>
    <r>
      <rPr>
        <b/>
        <sz val="11"/>
        <color rgb="FF000000"/>
        <rFont val="Calibri"/>
      </rPr>
      <t>[Project Based] Revenue/month</t>
    </r>
    <r>
      <rPr>
        <sz val="11"/>
        <color rgb="FF000000"/>
        <rFont val="Calibri"/>
      </rPr>
      <t xml:space="preserve"> = Total Contract Revenue * Monthly Expected Complete Rate</t>
    </r>
  </si>
  <si>
    <r>
      <rPr>
        <b/>
        <sz val="11"/>
        <color rgb="FF000000"/>
        <rFont val="Calibri"/>
      </rPr>
      <t>[Team based] Revenue/month</t>
    </r>
    <r>
      <rPr>
        <sz val="11"/>
        <color rgb="FF000000"/>
        <rFont val="Calibri"/>
      </rPr>
      <t xml:space="preserve"> = Employee Rate * Monthly Effort</t>
    </r>
  </si>
  <si>
    <t>Tính revenue hàng tháng cho dự án fixed cost</t>
  </si>
  <si>
    <t>total_revenue</t>
  </si>
  <si>
    <t>project_contract.contract_revenue</t>
  </si>
  <si>
    <t>actual_complete_rate_for_month</t>
  </si>
  <si>
    <t>fixcost_delivery_plan.complete_rate_actual</t>
  </si>
  <si>
    <t>forcast_complete_rate_for_month</t>
  </si>
  <si>
    <t>fixcost_delivery_plan.complete_rate</t>
  </si>
  <si>
    <t>total_member</t>
  </si>
  <si>
    <t>COUNT("tabProject User".employee_code)</t>
  </si>
  <si>
    <t>working_days_in_month</t>
  </si>
  <si>
    <t>SELECT COUNT(*)</t>
  </si>
  <si>
    <t>FROM generate_series("tabProject User".from_date::date, (date_trunc('month', now()) + interval '1 month - 1 day')::date) AS dates(date)</t>
  </si>
  <si>
    <t>WHERE EXTRACT(ISODOW FROM date) &lt; 6</t>
  </si>
  <si>
    <t>AND NOT EXISTS (SELECT 1 FROM holidays WHERE holiday_date = dates.date);</t>
  </si>
  <si>
    <t xml:space="preserve">month_forcast_complete_in_month = (forcast_complete_rate_for_month - forcast_complete_rate_previous_moth) * 100/ total_revenue </t>
  </si>
  <si>
    <t>total_project_effort_hours = SUM(ts_timelog_locked_worklogs.timeSpentHours) WHERE projectKey = project_code AND in the month</t>
  </si>
  <si>
    <t>total_member_effor_hours = SUM(ts_timelog_locked_worklogs.timeSpentHours) where projectKey=project_code and employeeCode AND in the month</t>
  </si>
  <si>
    <t>forcast_member_revenue_in_month= (8 * working_days_in_month / 8 * total_member * working_days_in_month) * "tabProject User".performance_rate * month_forcast_complete_in_month</t>
  </si>
  <si>
    <t>actual_memeber_revenue_in_month=(total_member_effor_hours / total_project_effort_hours) * "tabProject User".performance_rate * actual_complete_rate_for_month</t>
  </si>
  <si>
    <t>REVENUE (TARGET)</t>
  </si>
  <si>
    <t>*Revenue Target is uploaded by PM via Excel</t>
  </si>
  <si>
    <t>Dashboard Values</t>
  </si>
  <si>
    <t>_x0008_For</t>
  </si>
  <si>
    <t>Time</t>
  </si>
  <si>
    <t>Description</t>
  </si>
  <si>
    <t>Target Revenue</t>
  </si>
  <si>
    <t>All</t>
  </si>
  <si>
    <t>Feb</t>
  </si>
  <si>
    <t>Monthly Target Revenue</t>
  </si>
  <si>
    <t>Feb_x000D_</t>
  </si>
  <si>
    <t>_x0008_Feb</t>
  </si>
  <si>
    <t>Total</t>
  </si>
  <si>
    <t xml:space="preserve"> Division 1 </t>
  </si>
  <si>
    <t xml:space="preserve"> Division 2 </t>
  </si>
  <si>
    <t xml:space="preserve"> Division 3 </t>
  </si>
  <si>
    <t xml:space="preserve"> All </t>
  </si>
  <si>
    <t>COST (ACTUAL)</t>
  </si>
  <si>
    <t xml:space="preserve"> Employee Code </t>
  </si>
  <si>
    <t>Join date</t>
  </si>
  <si>
    <t>Salary Decision</t>
  </si>
  <si>
    <t>Project type</t>
  </si>
  <si>
    <t>Project Duration</t>
  </si>
  <si>
    <t>Salary</t>
  </si>
  <si>
    <t>Total Direct Cost</t>
  </si>
  <si>
    <t>Billable (day/month)</t>
  </si>
  <si>
    <t>Bonus rate</t>
  </si>
  <si>
    <t>Actual Bonus</t>
  </si>
  <si>
    <t>Actual Effort (day/month)</t>
  </si>
  <si>
    <t>TOTAL OT</t>
  </si>
  <si>
    <t xml:space="preserve"> Cost 
T1</t>
  </si>
  <si>
    <t xml:space="preserve"> Cost
 T2</t>
  </si>
  <si>
    <t xml:space="preserve"> Cost
 T3</t>
  </si>
  <si>
    <t xml:space="preserve"> Cost 
T4</t>
  </si>
  <si>
    <t xml:space="preserve"> Cost 
T5</t>
  </si>
  <si>
    <t xml:space="preserve"> Cost
 T6</t>
  </si>
  <si>
    <t xml:space="preserve"> Cost 
T7</t>
  </si>
  <si>
    <t xml:space="preserve"> Cost
 T8</t>
  </si>
  <si>
    <t xml:space="preserve"> Cost
 T9</t>
  </si>
  <si>
    <t xml:space="preserve"> Cost T10</t>
  </si>
  <si>
    <t xml:space="preserve"> Cost T11</t>
  </si>
  <si>
    <t xml:space="preserve"> Cost T12</t>
  </si>
  <si>
    <t>Start date</t>
  </si>
  <si>
    <t>End date</t>
  </si>
  <si>
    <t xml:space="preserve"> SAV289 </t>
  </si>
  <si>
    <t>KGT_x000D_</t>
  </si>
  <si>
    <t>Project based</t>
  </si>
  <si>
    <t xml:space="preserve"> SAV298</t>
  </si>
  <si>
    <t xml:space="preserve"> SAV285</t>
  </si>
  <si>
    <t xml:space="preserve"> SAV768 </t>
  </si>
  <si>
    <t xml:space="preserve"> SAV657 </t>
  </si>
  <si>
    <t xml:space="preserve"> SAV658</t>
  </si>
  <si>
    <t>GYM</t>
  </si>
  <si>
    <t>PS</t>
  </si>
  <si>
    <t xml:space="preserve"> Cost
  T2</t>
  </si>
  <si>
    <t>OT (hrs) - Weekdays</t>
  </si>
  <si>
    <t>OT (hrs) - Weekends</t>
  </si>
  <si>
    <t>OT (hrs) - Holidays</t>
  </si>
  <si>
    <t>TOTAL OT (days)</t>
  </si>
  <si>
    <t>COST (FORECAST)</t>
  </si>
  <si>
    <t>Expected Effort (day/month)</t>
  </si>
  <si>
    <t xml:space="preserve"> Cost 
T10</t>
  </si>
  <si>
    <t>COST (TARGET)</t>
  </si>
  <si>
    <t>Target _x0008_Cost</t>
  </si>
  <si>
    <t>Monthly Target Cost_x000D_</t>
  </si>
  <si>
    <t>Target _x000D_</t>
  </si>
  <si>
    <t>P&amp;L (ACTUAL)</t>
  </si>
  <si>
    <t xml:space="preserve"> P&amp;L 
T1</t>
  </si>
  <si>
    <t xml:space="preserve">  P&amp;L 
 T2</t>
  </si>
  <si>
    <t xml:space="preserve"> P&amp;L 
 T3</t>
  </si>
  <si>
    <t xml:space="preserve">  P&amp;L 
T4</t>
  </si>
  <si>
    <t xml:space="preserve">  P&amp;L 
T5</t>
  </si>
  <si>
    <t xml:space="preserve">  P&amp;L 
 T6</t>
  </si>
  <si>
    <t xml:space="preserve">   P&amp;L  
T7</t>
  </si>
  <si>
    <t xml:space="preserve">   P&amp;L 
 T8</t>
  </si>
  <si>
    <t xml:space="preserve">   P&amp;L 
 T9</t>
  </si>
  <si>
    <t xml:space="preserve">   P&amp;L 
 T10</t>
  </si>
  <si>
    <t xml:space="preserve">   P&amp;L 
 T11</t>
  </si>
  <si>
    <t xml:space="preserve">   P&amp;L 
 T12</t>
  </si>
  <si>
    <t>Actual P&amp;L = Actual Cost / Actual Revenue</t>
  </si>
  <si>
    <t>P&amp;L (FORECAST)</t>
  </si>
  <si>
    <t>Forcast P&amp;L = Forcast Cost / Forecast Revenue</t>
  </si>
  <si>
    <t>P&amp;L (TARGET)</t>
  </si>
  <si>
    <t xml:space="preserve">*P&amp;L Target </t>
  </si>
  <si>
    <t>Target P&amp;L</t>
  </si>
  <si>
    <t>=Target Cost/Target _x0008_Revenue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</si>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</sst>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444444"/>
      <name val="Calibri"/>
      <charset val="1"/>
    </font>
    <font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35"/>
      <color rgb="FF000000"/>
      <name val="Calibri"/>
      <family val="2"/>
    </font>
    <font>
      <sz val="35"/>
      <color theme="1"/>
      <name val="Calibri"/>
      <family val="2"/>
      <scheme val="minor"/>
    </font>
    <font>
      <b/>
      <sz val="24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  <charset val="1"/>
    </font>
    <font>
      <sz val="12"/>
      <color rgb="FF0A0A0A"/>
      <name val="MarkW01-Light"/>
      <charset val="1"/>
    </font>
    <font>
      <sz val="12"/>
      <color rgb="FF000000"/>
      <name val="MarkW01-Light"/>
      <charset val="1"/>
    </font>
    <font>
      <sz val="11"/>
      <color rgb="FFFF0000"/>
      <name val="Calibri"/>
      <charset val="1"/>
    </font>
    <font>
      <sz val="11"/>
      <color rgb="FFFF0000"/>
      <name val="Calibri"/>
      <family val="2"/>
    </font>
    <font>
      <sz val="11"/>
      <color rgb="FFFF0000"/>
      <name val="Calibri"/>
    </font>
    <font>
      <b/>
      <sz val="11"/>
      <color rgb="FFFF0000"/>
      <name val="Calibri"/>
      <family val="2"/>
    </font>
    <font>
      <b/>
      <sz val="11"/>
      <color rgb="FFFF0000"/>
      <name val="Calibri"/>
      <charset val="1"/>
    </font>
    <font>
      <sz val="12"/>
      <color rgb="FF0A0A0A"/>
      <name val="Calibri"/>
    </font>
    <font>
      <sz val="11"/>
      <color theme="1"/>
      <name val="Calibri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CC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38761D"/>
      <name val="Calibri"/>
    </font>
    <font>
      <sz val="11"/>
      <color rgb="FFCC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8">
    <xf numFmtId="0" fontId="0" fillId="0" borderId="0" xfId="0"/>
    <xf numFmtId="0" fontId="1" fillId="0" borderId="0" xfId="0" applyFont="1"/>
    <xf numFmtId="0" fontId="3" fillId="0" borderId="5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3" borderId="6" xfId="0" applyFont="1" applyFill="1" applyBorder="1" applyAlignment="1">
      <alignment horizontal="center" vertical="center"/>
    </xf>
    <xf numFmtId="165" fontId="1" fillId="0" borderId="1" xfId="0" applyNumberFormat="1" applyFont="1" applyBorder="1"/>
    <xf numFmtId="0" fontId="3" fillId="0" borderId="10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5" borderId="0" xfId="0" applyFill="1"/>
    <xf numFmtId="0" fontId="4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5" fontId="3" fillId="0" borderId="1" xfId="0" applyNumberFormat="1" applyFont="1" applyBorder="1"/>
    <xf numFmtId="164" fontId="1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5" fontId="4" fillId="0" borderId="6" xfId="0" applyNumberFormat="1" applyFont="1" applyBorder="1" applyAlignment="1">
      <alignment horizontal="center"/>
    </xf>
    <xf numFmtId="165" fontId="4" fillId="0" borderId="1" xfId="0" applyNumberFormat="1" applyFont="1" applyBorder="1"/>
    <xf numFmtId="165" fontId="5" fillId="0" borderId="1" xfId="0" applyNumberFormat="1" applyFont="1" applyBorder="1"/>
    <xf numFmtId="0" fontId="5" fillId="0" borderId="0" xfId="0" applyFont="1" applyAlignment="1">
      <alignment horizontal="center" wrapText="1"/>
    </xf>
    <xf numFmtId="0" fontId="1" fillId="9" borderId="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4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0" borderId="5" xfId="0" applyFont="1" applyBorder="1"/>
    <xf numFmtId="0" fontId="4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6" fillId="5" borderId="13" xfId="0" applyFont="1" applyFill="1" applyBorder="1" applyAlignment="1">
      <alignment vertical="center" wrapText="1"/>
    </xf>
    <xf numFmtId="14" fontId="16" fillId="5" borderId="1" xfId="0" applyNumberFormat="1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14" fontId="17" fillId="5" borderId="1" xfId="0" applyNumberFormat="1" applyFont="1" applyFill="1" applyBorder="1" applyAlignment="1">
      <alignment vertical="center" wrapText="1"/>
    </xf>
    <xf numFmtId="14" fontId="16" fillId="5" borderId="13" xfId="0" applyNumberFormat="1" applyFont="1" applyFill="1" applyBorder="1" applyAlignment="1">
      <alignment vertical="center" wrapText="1"/>
    </xf>
    <xf numFmtId="0" fontId="16" fillId="5" borderId="13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 wrapText="1"/>
    </xf>
    <xf numFmtId="0" fontId="16" fillId="5" borderId="5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165" fontId="0" fillId="0" borderId="0" xfId="0" applyNumberFormat="1"/>
    <xf numFmtId="0" fontId="5" fillId="0" borderId="1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5" fillId="0" borderId="0" xfId="0" applyFont="1"/>
    <xf numFmtId="165" fontId="4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4" fontId="0" fillId="0" borderId="0" xfId="0" applyNumberFormat="1"/>
    <xf numFmtId="0" fontId="4" fillId="10" borderId="13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9" fillId="11" borderId="1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10" fillId="3" borderId="1" xfId="0" applyFont="1" applyFill="1" applyBorder="1"/>
    <xf numFmtId="0" fontId="13" fillId="0" borderId="0" xfId="0" applyFont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horizontal="center"/>
    </xf>
    <xf numFmtId="165" fontId="4" fillId="0" borderId="13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15" fillId="0" borderId="1" xfId="0" quotePrefix="1" applyFont="1" applyBorder="1"/>
    <xf numFmtId="165" fontId="6" fillId="0" borderId="2" xfId="0" applyNumberFormat="1" applyFont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6" borderId="0" xfId="0" applyFill="1" applyAlignment="1">
      <alignment horizontal="left" vertical="center"/>
    </xf>
    <xf numFmtId="165" fontId="6" fillId="0" borderId="13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left"/>
    </xf>
    <xf numFmtId="164" fontId="1" fillId="9" borderId="1" xfId="0" applyNumberFormat="1" applyFont="1" applyFill="1" applyBorder="1" applyAlignment="1">
      <alignment horizontal="center"/>
    </xf>
    <xf numFmtId="164" fontId="19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164" fontId="4" fillId="9" borderId="1" xfId="0" applyNumberFormat="1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165" fontId="1" fillId="9" borderId="1" xfId="0" applyNumberFormat="1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 vertical="center"/>
    </xf>
    <xf numFmtId="165" fontId="6" fillId="9" borderId="2" xfId="0" applyNumberFormat="1" applyFont="1" applyFill="1" applyBorder="1" applyAlignment="1">
      <alignment horizontal="center"/>
    </xf>
    <xf numFmtId="165" fontId="22" fillId="9" borderId="2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9" borderId="2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5" fillId="15" borderId="1" xfId="0" applyFont="1" applyFill="1" applyBorder="1" applyAlignment="1">
      <alignment horizontal="center" vertical="center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9" fontId="0" fillId="0" borderId="1" xfId="0" applyNumberFormat="1" applyBorder="1"/>
    <xf numFmtId="9" fontId="4" fillId="0" borderId="1" xfId="0" applyNumberFormat="1" applyFont="1" applyBorder="1"/>
    <xf numFmtId="0" fontId="3" fillId="0" borderId="5" xfId="0" applyFont="1" applyBorder="1" applyAlignment="1">
      <alignment wrapText="1"/>
    </xf>
    <xf numFmtId="165" fontId="1" fillId="0" borderId="13" xfId="0" applyNumberFormat="1" applyFont="1" applyBorder="1" applyAlignment="1">
      <alignment horizontal="center"/>
    </xf>
    <xf numFmtId="165" fontId="5" fillId="5" borderId="1" xfId="0" applyNumberFormat="1" applyFont="1" applyFill="1" applyBorder="1" applyAlignment="1">
      <alignment vertical="center" wrapText="1"/>
    </xf>
    <xf numFmtId="14" fontId="0" fillId="0" borderId="1" xfId="0" applyNumberFormat="1" applyBorder="1" applyAlignment="1">
      <alignment horizontal="right"/>
    </xf>
    <xf numFmtId="0" fontId="23" fillId="5" borderId="13" xfId="0" applyFont="1" applyFill="1" applyBorder="1" applyAlignment="1">
      <alignment horizontal="left" vertical="center" wrapText="1"/>
    </xf>
    <xf numFmtId="0" fontId="23" fillId="5" borderId="8" xfId="0" applyFont="1" applyFill="1" applyBorder="1" applyAlignment="1">
      <alignment horizontal="left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165" fontId="0" fillId="0" borderId="1" xfId="0" applyNumberFormat="1" applyBorder="1"/>
    <xf numFmtId="0" fontId="8" fillId="0" borderId="1" xfId="0" applyFont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readingOrder="1"/>
    </xf>
    <xf numFmtId="0" fontId="8" fillId="12" borderId="0" xfId="0" applyFont="1" applyFill="1" applyAlignment="1">
      <alignment horizontal="center" vertic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15" fillId="0" borderId="1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4" fillId="0" borderId="5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28" fillId="0" borderId="11" xfId="0" applyFont="1" applyBorder="1" applyAlignment="1">
      <alignment readingOrder="1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27" fillId="0" borderId="15" xfId="0" applyFont="1" applyBorder="1" applyAlignment="1">
      <alignment readingOrder="1"/>
    </xf>
    <xf numFmtId="0" fontId="30" fillId="0" borderId="10" xfId="0" applyFont="1" applyBorder="1" applyAlignment="1">
      <alignment readingOrder="1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7" borderId="15" xfId="0" applyFont="1" applyFill="1" applyBorder="1" applyAlignment="1">
      <alignment horizontal="left" vertical="center" readingOrder="1"/>
    </xf>
    <xf numFmtId="0" fontId="26" fillId="7" borderId="14" xfId="0" applyFont="1" applyFill="1" applyBorder="1" applyAlignment="1">
      <alignment horizontal="left" vertical="center" readingOrder="1"/>
    </xf>
    <xf numFmtId="0" fontId="26" fillId="7" borderId="11" xfId="0" applyFont="1" applyFill="1" applyBorder="1" applyAlignment="1">
      <alignment horizontal="left" vertical="center" readingOrder="1"/>
    </xf>
    <xf numFmtId="0" fontId="26" fillId="7" borderId="9" xfId="0" applyFont="1" applyFill="1" applyBorder="1" applyAlignment="1">
      <alignment horizontal="left" vertical="center" readingOrder="1"/>
    </xf>
    <xf numFmtId="0" fontId="8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5" fillId="8" borderId="10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0" borderId="1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" xfId="0" applyFill="1" applyBorder="1" applyAlignment="1">
      <alignment vertical="center"/>
    </xf>
    <xf numFmtId="0" fontId="0" fillId="16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59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41B8-16DA-4599-A108-5E877FD85B87}">
  <dimension ref="A1:G60"/>
  <sheetViews>
    <sheetView tabSelected="1" workbookViewId="0">
      <pane ySplit="1" topLeftCell="A20" activePane="bottomLeft" state="frozen"/>
      <selection pane="bottomLeft" activeCell="C40" sqref="C40:C44"/>
    </sheetView>
  </sheetViews>
  <sheetFormatPr defaultRowHeight="14.6"/>
  <cols>
    <col min="1" max="1" width="26.15234375" style="197" bestFit="1" customWidth="1"/>
    <col min="2" max="2" width="40" style="7" customWidth="1"/>
    <col min="3" max="3" width="46.69140625" style="210" bestFit="1" customWidth="1"/>
    <col min="4" max="4" width="122" style="210" customWidth="1"/>
    <col min="5" max="5" width="59.3828125" style="210" customWidth="1"/>
    <col min="6" max="6" width="77" style="210" customWidth="1"/>
    <col min="7" max="7" width="34.3828125" customWidth="1"/>
  </cols>
  <sheetData>
    <row r="1" spans="1:7" s="197" customFormat="1">
      <c r="A1" s="206" t="s">
        <v>0</v>
      </c>
      <c r="B1" s="206" t="s">
        <v>1</v>
      </c>
      <c r="C1" s="206" t="s">
        <v>2</v>
      </c>
      <c r="D1" s="206" t="s">
        <v>3</v>
      </c>
      <c r="E1" s="196" t="s">
        <v>4</v>
      </c>
      <c r="F1" s="196" t="s">
        <v>5</v>
      </c>
    </row>
    <row r="2" spans="1:7" ht="27" customHeight="1">
      <c r="A2" s="237" t="s">
        <v>6</v>
      </c>
      <c r="B2" s="239" t="s">
        <v>7</v>
      </c>
      <c r="C2" s="235" t="s">
        <v>8</v>
      </c>
      <c r="D2" s="235" t="s">
        <v>9</v>
      </c>
      <c r="E2" s="204" t="s">
        <v>10</v>
      </c>
      <c r="F2" s="204" t="s">
        <v>11</v>
      </c>
      <c r="G2" t="s">
        <v>12</v>
      </c>
    </row>
    <row r="3" spans="1:7" ht="25.5" customHeight="1">
      <c r="A3" s="238"/>
      <c r="B3" s="240"/>
      <c r="C3" s="236"/>
      <c r="D3" s="236"/>
      <c r="E3" s="204" t="s">
        <v>13</v>
      </c>
      <c r="F3" s="204" t="s">
        <v>14</v>
      </c>
      <c r="G3" t="s">
        <v>15</v>
      </c>
    </row>
    <row r="4" spans="1:7" ht="29.15">
      <c r="A4" s="238"/>
      <c r="B4" s="198" t="s">
        <v>16</v>
      </c>
      <c r="C4" s="199" t="s">
        <v>17</v>
      </c>
      <c r="D4" s="218" t="s">
        <v>18</v>
      </c>
      <c r="E4" s="218" t="s">
        <v>19</v>
      </c>
      <c r="F4" s="204"/>
    </row>
    <row r="5" spans="1:7">
      <c r="A5" s="238"/>
      <c r="B5" s="198" t="s">
        <v>20</v>
      </c>
      <c r="C5" s="200" t="s">
        <v>21</v>
      </c>
      <c r="D5" s="200" t="s">
        <v>22</v>
      </c>
      <c r="E5" s="200" t="s">
        <v>23</v>
      </c>
      <c r="F5" s="200" t="s">
        <v>24</v>
      </c>
    </row>
    <row r="6" spans="1:7">
      <c r="A6" s="238"/>
      <c r="B6" s="198" t="s">
        <v>25</v>
      </c>
      <c r="C6" s="200" t="s">
        <v>26</v>
      </c>
      <c r="D6" s="211" t="s">
        <v>27</v>
      </c>
      <c r="E6" s="200"/>
      <c r="F6" s="200"/>
    </row>
    <row r="7" spans="1:7">
      <c r="A7" s="238"/>
      <c r="B7" s="198" t="s">
        <v>28</v>
      </c>
      <c r="C7" s="200" t="s">
        <v>29</v>
      </c>
      <c r="D7" s="211" t="s">
        <v>30</v>
      </c>
      <c r="E7" s="200"/>
      <c r="F7" s="200"/>
    </row>
    <row r="8" spans="1:7">
      <c r="A8" s="238"/>
      <c r="B8" s="198" t="s">
        <v>31</v>
      </c>
      <c r="C8" s="200" t="s">
        <v>32</v>
      </c>
      <c r="D8" s="200" t="s">
        <v>33</v>
      </c>
      <c r="E8" s="200"/>
      <c r="F8" s="200"/>
    </row>
    <row r="9" spans="1:7">
      <c r="A9" s="245" t="s">
        <v>34</v>
      </c>
      <c r="B9" s="198" t="s">
        <v>7</v>
      </c>
      <c r="C9" s="200" t="s">
        <v>8</v>
      </c>
      <c r="D9" s="200" t="s">
        <v>35</v>
      </c>
      <c r="E9" s="200" t="s">
        <v>36</v>
      </c>
      <c r="F9" s="200"/>
    </row>
    <row r="10" spans="1:7">
      <c r="A10" s="246"/>
      <c r="B10" s="198" t="s">
        <v>20</v>
      </c>
      <c r="C10" s="200" t="s">
        <v>21</v>
      </c>
      <c r="D10" s="200" t="s">
        <v>37</v>
      </c>
      <c r="E10" s="200" t="s">
        <v>23</v>
      </c>
      <c r="F10" s="200" t="s">
        <v>38</v>
      </c>
    </row>
    <row r="11" spans="1:7">
      <c r="A11" s="246"/>
      <c r="B11" s="198" t="s">
        <v>25</v>
      </c>
      <c r="C11" s="200" t="s">
        <v>26</v>
      </c>
      <c r="D11" s="200" t="s">
        <v>39</v>
      </c>
      <c r="E11" s="200"/>
      <c r="F11" s="200"/>
    </row>
    <row r="12" spans="1:7">
      <c r="A12" s="246"/>
      <c r="B12" s="198" t="s">
        <v>40</v>
      </c>
      <c r="C12" s="200" t="s">
        <v>41</v>
      </c>
      <c r="D12" s="203" t="s">
        <v>42</v>
      </c>
      <c r="E12" s="200"/>
      <c r="F12" s="200"/>
    </row>
    <row r="13" spans="1:7">
      <c r="A13" s="246"/>
      <c r="B13" s="198" t="s">
        <v>43</v>
      </c>
      <c r="C13" s="200" t="s">
        <v>44</v>
      </c>
      <c r="D13" s="203" t="s">
        <v>45</v>
      </c>
      <c r="E13" s="200"/>
      <c r="F13" s="200"/>
    </row>
    <row r="14" spans="1:7">
      <c r="A14" s="246"/>
      <c r="B14" s="198" t="s">
        <v>46</v>
      </c>
      <c r="C14" s="200" t="s">
        <v>29</v>
      </c>
      <c r="D14" s="203" t="s">
        <v>47</v>
      </c>
      <c r="E14" s="200"/>
      <c r="F14" s="200"/>
    </row>
    <row r="15" spans="1:7">
      <c r="A15" s="237"/>
      <c r="B15" s="198" t="s">
        <v>31</v>
      </c>
      <c r="C15" s="212" t="s">
        <v>32</v>
      </c>
      <c r="D15" s="203" t="s">
        <v>33</v>
      </c>
      <c r="E15" s="207"/>
      <c r="F15" s="200"/>
    </row>
    <row r="16" spans="1:7">
      <c r="A16" s="245" t="s">
        <v>48</v>
      </c>
      <c r="B16" s="198" t="s">
        <v>49</v>
      </c>
      <c r="C16" s="213" t="s">
        <v>50</v>
      </c>
      <c r="D16" s="200" t="s">
        <v>51</v>
      </c>
      <c r="E16" s="207"/>
      <c r="F16" s="200"/>
    </row>
    <row r="17" spans="1:6">
      <c r="A17" s="246"/>
      <c r="B17" s="198" t="s">
        <v>7</v>
      </c>
      <c r="C17" s="200" t="s">
        <v>52</v>
      </c>
      <c r="D17" s="219" t="s">
        <v>53</v>
      </c>
      <c r="E17" s="200" t="s">
        <v>54</v>
      </c>
      <c r="F17" s="200"/>
    </row>
    <row r="18" spans="1:6">
      <c r="A18" s="246"/>
      <c r="B18" s="198" t="s">
        <v>55</v>
      </c>
      <c r="C18" s="200" t="s">
        <v>56</v>
      </c>
      <c r="D18" s="200" t="s">
        <v>57</v>
      </c>
      <c r="E18" s="200"/>
      <c r="F18" s="200"/>
    </row>
    <row r="19" spans="1:6">
      <c r="A19" s="246"/>
      <c r="B19" s="198" t="s">
        <v>46</v>
      </c>
      <c r="C19" s="200" t="s">
        <v>58</v>
      </c>
      <c r="D19" s="200" t="s">
        <v>59</v>
      </c>
      <c r="E19" s="200"/>
      <c r="F19" s="200"/>
    </row>
    <row r="20" spans="1:6">
      <c r="A20" s="246"/>
      <c r="B20" s="201" t="s">
        <v>31</v>
      </c>
      <c r="C20" s="203" t="s">
        <v>60</v>
      </c>
      <c r="D20" s="203" t="s">
        <v>61</v>
      </c>
      <c r="E20" s="200"/>
      <c r="F20" s="200"/>
    </row>
    <row r="21" spans="1:6" ht="29.15">
      <c r="A21" s="238" t="s">
        <v>62</v>
      </c>
      <c r="B21" s="215" t="s">
        <v>49</v>
      </c>
      <c r="C21" s="200" t="s">
        <v>50</v>
      </c>
      <c r="D21" s="200" t="s">
        <v>63</v>
      </c>
      <c r="E21" s="221" t="s">
        <v>64</v>
      </c>
      <c r="F21" s="200"/>
    </row>
    <row r="22" spans="1:6">
      <c r="A22" s="238"/>
      <c r="B22" s="215" t="s">
        <v>7</v>
      </c>
      <c r="C22" s="200" t="s">
        <v>65</v>
      </c>
      <c r="D22" s="220" t="s">
        <v>66</v>
      </c>
      <c r="E22" s="208"/>
      <c r="F22" s="203"/>
    </row>
    <row r="23" spans="1:6">
      <c r="A23" s="238"/>
      <c r="B23" s="215" t="s">
        <v>25</v>
      </c>
      <c r="C23" s="214" t="s">
        <v>67</v>
      </c>
      <c r="D23" s="200" t="s">
        <v>68</v>
      </c>
      <c r="E23" s="200" t="s">
        <v>69</v>
      </c>
      <c r="F23" s="200"/>
    </row>
    <row r="24" spans="1:6">
      <c r="A24" s="238"/>
      <c r="B24" s="215" t="s">
        <v>70</v>
      </c>
      <c r="C24" s="214" t="s">
        <v>71</v>
      </c>
      <c r="D24" s="200" t="s">
        <v>72</v>
      </c>
      <c r="E24" s="200"/>
      <c r="F24" s="200"/>
    </row>
    <row r="25" spans="1:6">
      <c r="A25" s="238"/>
      <c r="B25" s="215" t="s">
        <v>73</v>
      </c>
      <c r="C25" s="202" t="s">
        <v>74</v>
      </c>
      <c r="D25" s="200" t="s">
        <v>75</v>
      </c>
      <c r="E25" s="200"/>
      <c r="F25" s="200"/>
    </row>
    <row r="26" spans="1:6">
      <c r="A26" s="238"/>
      <c r="B26" s="216" t="s">
        <v>76</v>
      </c>
      <c r="C26" s="202" t="s">
        <v>77</v>
      </c>
      <c r="D26" s="200" t="s">
        <v>78</v>
      </c>
      <c r="E26" s="200"/>
      <c r="F26" s="200"/>
    </row>
    <row r="27" spans="1:6">
      <c r="A27" s="238"/>
      <c r="B27" s="215" t="s">
        <v>79</v>
      </c>
      <c r="C27" s="202" t="s">
        <v>80</v>
      </c>
      <c r="D27" s="200" t="s">
        <v>81</v>
      </c>
      <c r="E27" s="200"/>
      <c r="F27" s="200"/>
    </row>
    <row r="28" spans="1:6">
      <c r="A28" s="238"/>
      <c r="B28" s="215" t="s">
        <v>46</v>
      </c>
      <c r="C28" s="214" t="s">
        <v>82</v>
      </c>
      <c r="D28" s="200" t="s">
        <v>83</v>
      </c>
      <c r="E28" s="200"/>
      <c r="F28" s="200"/>
    </row>
    <row r="29" spans="1:6">
      <c r="A29" s="238"/>
      <c r="B29" s="217" t="s">
        <v>31</v>
      </c>
      <c r="C29" s="212" t="s">
        <v>60</v>
      </c>
      <c r="D29" s="200" t="s">
        <v>61</v>
      </c>
      <c r="E29" s="200"/>
      <c r="F29" s="200"/>
    </row>
    <row r="30" spans="1:6">
      <c r="A30" s="238" t="s">
        <v>84</v>
      </c>
      <c r="B30" s="215" t="s">
        <v>7</v>
      </c>
      <c r="C30" s="214" t="s">
        <v>85</v>
      </c>
      <c r="D30" s="200"/>
      <c r="E30" s="200"/>
      <c r="F30" s="200"/>
    </row>
    <row r="31" spans="1:6">
      <c r="A31" s="238"/>
      <c r="B31" s="215" t="s">
        <v>25</v>
      </c>
      <c r="C31" s="214" t="s">
        <v>86</v>
      </c>
      <c r="D31" s="200" t="s">
        <v>87</v>
      </c>
      <c r="E31" s="200"/>
      <c r="F31" s="200"/>
    </row>
    <row r="32" spans="1:6">
      <c r="A32" s="238"/>
      <c r="B32" s="215" t="s">
        <v>40</v>
      </c>
      <c r="C32" s="214" t="s">
        <v>88</v>
      </c>
      <c r="D32" s="200" t="s">
        <v>89</v>
      </c>
      <c r="E32" s="200"/>
      <c r="F32" s="200"/>
    </row>
    <row r="33" spans="1:6">
      <c r="A33" s="238"/>
      <c r="B33" s="215" t="s">
        <v>46</v>
      </c>
      <c r="C33" s="214" t="s">
        <v>90</v>
      </c>
      <c r="D33" s="209" t="s">
        <v>91</v>
      </c>
      <c r="E33" s="209"/>
      <c r="F33" s="209"/>
    </row>
    <row r="34" spans="1:6">
      <c r="A34" s="237" t="s">
        <v>92</v>
      </c>
      <c r="B34" s="198" t="s">
        <v>7</v>
      </c>
      <c r="C34" s="214" t="s">
        <v>93</v>
      </c>
      <c r="D34" s="200" t="s">
        <v>94</v>
      </c>
      <c r="E34" s="200"/>
      <c r="F34" s="200"/>
    </row>
    <row r="35" spans="1:6">
      <c r="A35" s="238"/>
      <c r="B35" s="198" t="s">
        <v>25</v>
      </c>
      <c r="C35" s="214" t="s">
        <v>95</v>
      </c>
      <c r="D35" s="200" t="s">
        <v>96</v>
      </c>
      <c r="E35" s="200"/>
      <c r="F35" s="200"/>
    </row>
    <row r="36" spans="1:6">
      <c r="A36" s="238"/>
      <c r="B36" s="198" t="s">
        <v>70</v>
      </c>
      <c r="C36" s="214" t="s">
        <v>97</v>
      </c>
      <c r="D36" s="200" t="s">
        <v>98</v>
      </c>
      <c r="E36" s="200"/>
      <c r="F36" s="200"/>
    </row>
    <row r="37" spans="1:6">
      <c r="A37" s="238"/>
      <c r="B37" s="198" t="s">
        <v>73</v>
      </c>
      <c r="C37" s="214" t="s">
        <v>99</v>
      </c>
      <c r="D37" s="200" t="s">
        <v>100</v>
      </c>
      <c r="E37" s="200"/>
      <c r="F37" s="200"/>
    </row>
    <row r="38" spans="1:6">
      <c r="A38" s="238"/>
      <c r="B38" s="198" t="s">
        <v>101</v>
      </c>
      <c r="C38" s="214" t="s">
        <v>102</v>
      </c>
      <c r="D38" s="200" t="s">
        <v>103</v>
      </c>
      <c r="E38" s="200"/>
      <c r="F38" s="200"/>
    </row>
    <row r="39" spans="1:6">
      <c r="A39" s="238"/>
      <c r="B39" s="198" t="s">
        <v>79</v>
      </c>
      <c r="C39" s="214" t="s">
        <v>104</v>
      </c>
      <c r="D39" s="200" t="s">
        <v>105</v>
      </c>
      <c r="E39" s="200"/>
      <c r="F39" s="200"/>
    </row>
    <row r="40" spans="1:6">
      <c r="A40" s="238"/>
      <c r="B40" s="198" t="s">
        <v>46</v>
      </c>
      <c r="C40" s="214" t="s">
        <v>106</v>
      </c>
      <c r="D40" s="200" t="s">
        <v>107</v>
      </c>
      <c r="E40" s="200"/>
      <c r="F40" s="200"/>
    </row>
    <row r="41" spans="1:6">
      <c r="A41" s="324" t="s">
        <v>108</v>
      </c>
      <c r="B41" s="325" t="s">
        <v>46</v>
      </c>
      <c r="C41" s="326" t="s">
        <v>109</v>
      </c>
      <c r="D41" s="327" t="s">
        <v>110</v>
      </c>
      <c r="E41" s="200"/>
      <c r="F41" s="200"/>
    </row>
    <row r="42" spans="1:6">
      <c r="A42" s="324"/>
      <c r="B42" s="325" t="s">
        <v>31</v>
      </c>
      <c r="C42" s="326" t="s">
        <v>111</v>
      </c>
      <c r="D42" s="327" t="s">
        <v>112</v>
      </c>
      <c r="E42" s="200"/>
      <c r="F42" s="200"/>
    </row>
    <row r="43" spans="1:6">
      <c r="A43" s="324" t="s">
        <v>113</v>
      </c>
      <c r="B43" s="325" t="s">
        <v>46</v>
      </c>
      <c r="C43" s="326" t="s">
        <v>114</v>
      </c>
      <c r="D43" s="327" t="s">
        <v>115</v>
      </c>
      <c r="E43" s="200"/>
      <c r="F43" s="200"/>
    </row>
    <row r="44" spans="1:6">
      <c r="A44" s="324"/>
      <c r="B44" s="325" t="s">
        <v>31</v>
      </c>
      <c r="C44" s="326" t="s">
        <v>116</v>
      </c>
      <c r="D44" s="327" t="s">
        <v>117</v>
      </c>
      <c r="E44" s="200"/>
      <c r="F44" s="200"/>
    </row>
    <row r="45" spans="1:6">
      <c r="A45" s="238" t="s">
        <v>118</v>
      </c>
      <c r="B45" s="198" t="s">
        <v>46</v>
      </c>
      <c r="C45" s="214" t="s">
        <v>119</v>
      </c>
      <c r="D45" s="200" t="s">
        <v>120</v>
      </c>
      <c r="E45" s="200"/>
      <c r="F45" s="200"/>
    </row>
    <row r="46" spans="1:6">
      <c r="A46" s="238"/>
      <c r="B46" s="198" t="s">
        <v>31</v>
      </c>
      <c r="C46" s="214" t="s">
        <v>121</v>
      </c>
      <c r="D46" s="200" t="s">
        <v>122</v>
      </c>
      <c r="E46" s="200"/>
      <c r="F46" s="200"/>
    </row>
    <row r="47" spans="1:6" ht="29.15">
      <c r="A47" s="245" t="s">
        <v>123</v>
      </c>
      <c r="B47" s="198" t="s">
        <v>31</v>
      </c>
      <c r="C47" s="214" t="s">
        <v>124</v>
      </c>
      <c r="D47" s="204" t="s">
        <v>125</v>
      </c>
      <c r="E47" s="200"/>
      <c r="F47" s="200"/>
    </row>
    <row r="48" spans="1:6" ht="29.15">
      <c r="A48" s="237"/>
      <c r="B48" s="198" t="s">
        <v>46</v>
      </c>
      <c r="C48" s="214" t="s">
        <v>126</v>
      </c>
      <c r="D48" s="204" t="s">
        <v>127</v>
      </c>
      <c r="E48" s="200"/>
      <c r="F48" s="200"/>
    </row>
    <row r="49" spans="1:6">
      <c r="A49" s="238" t="s">
        <v>128</v>
      </c>
      <c r="B49" s="198" t="s">
        <v>129</v>
      </c>
      <c r="C49" s="214" t="s">
        <v>130</v>
      </c>
      <c r="D49" s="200" t="s">
        <v>131</v>
      </c>
      <c r="E49" s="200"/>
      <c r="F49" s="200"/>
    </row>
    <row r="50" spans="1:6">
      <c r="A50" s="238"/>
      <c r="B50" s="198" t="s">
        <v>132</v>
      </c>
      <c r="C50" s="214" t="s">
        <v>133</v>
      </c>
      <c r="D50" s="200" t="s">
        <v>134</v>
      </c>
      <c r="E50" s="200"/>
      <c r="F50" s="200"/>
    </row>
    <row r="51" spans="1:6">
      <c r="A51" s="238" t="s">
        <v>135</v>
      </c>
      <c r="B51" s="198" t="s">
        <v>46</v>
      </c>
      <c r="C51" s="214" t="s">
        <v>136</v>
      </c>
      <c r="D51" s="200" t="s">
        <v>137</v>
      </c>
      <c r="E51" s="200"/>
      <c r="F51" s="200"/>
    </row>
    <row r="52" spans="1:6">
      <c r="A52" s="238"/>
      <c r="B52" s="198" t="s">
        <v>31</v>
      </c>
      <c r="C52" s="214" t="s">
        <v>138</v>
      </c>
      <c r="D52" s="200" t="s">
        <v>139</v>
      </c>
      <c r="E52" s="200"/>
      <c r="F52" s="200"/>
    </row>
    <row r="53" spans="1:6">
      <c r="A53" s="205"/>
    </row>
    <row r="54" spans="1:6">
      <c r="B54" s="241" t="s">
        <v>140</v>
      </c>
      <c r="C54" s="242"/>
    </row>
    <row r="55" spans="1:6">
      <c r="B55" s="243"/>
      <c r="C55" s="244"/>
      <c r="D55" s="7"/>
    </row>
    <row r="56" spans="1:6">
      <c r="B56" s="225" t="s">
        <v>141</v>
      </c>
      <c r="C56" s="217"/>
      <c r="D56" s="7"/>
    </row>
    <row r="57" spans="1:6">
      <c r="B57" s="222" t="s">
        <v>142</v>
      </c>
      <c r="C57" s="223"/>
    </row>
    <row r="58" spans="1:6">
      <c r="B58" s="222" t="s">
        <v>143</v>
      </c>
      <c r="C58" s="223"/>
    </row>
    <row r="59" spans="1:6">
      <c r="B59" s="226" t="s">
        <v>144</v>
      </c>
      <c r="C59" s="224"/>
    </row>
    <row r="60" spans="1:6">
      <c r="B60"/>
    </row>
  </sheetData>
  <mergeCells count="16">
    <mergeCell ref="B54:C55"/>
    <mergeCell ref="A21:A29"/>
    <mergeCell ref="A47:A48"/>
    <mergeCell ref="A16:A20"/>
    <mergeCell ref="A9:A15"/>
    <mergeCell ref="A51:A52"/>
    <mergeCell ref="D2:D3"/>
    <mergeCell ref="A2:A8"/>
    <mergeCell ref="B2:B3"/>
    <mergeCell ref="C2:C3"/>
    <mergeCell ref="A49:A50"/>
    <mergeCell ref="A30:A33"/>
    <mergeCell ref="A34:A40"/>
    <mergeCell ref="A41:A42"/>
    <mergeCell ref="A43:A44"/>
    <mergeCell ref="A45:A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4DA2-D52B-49F5-B3D0-828ABC3A7A3E}">
  <dimension ref="A1:AM46"/>
  <sheetViews>
    <sheetView topLeftCell="A23" zoomScale="85" zoomScaleNormal="85" workbookViewId="0">
      <selection activeCell="B45" sqref="B45"/>
    </sheetView>
  </sheetViews>
  <sheetFormatPr defaultRowHeight="14.6"/>
  <cols>
    <col min="1" max="1" width="17.53515625" bestFit="1" customWidth="1"/>
    <col min="2" max="2" width="15.3046875" customWidth="1"/>
    <col min="3" max="3" width="14.69140625" bestFit="1" customWidth="1"/>
    <col min="4" max="4" width="24.69140625" bestFit="1" customWidth="1"/>
    <col min="5" max="5" width="21.53515625" customWidth="1"/>
    <col min="6" max="6" width="19.3828125" customWidth="1"/>
    <col min="7" max="13" width="13" bestFit="1" customWidth="1"/>
    <col min="14" max="14" width="14.69140625" bestFit="1" customWidth="1"/>
    <col min="15" max="15" width="7.69140625" customWidth="1"/>
    <col min="16" max="16" width="9.53515625" bestFit="1" customWidth="1"/>
    <col min="17" max="18" width="7.69140625" customWidth="1"/>
    <col min="19" max="19" width="15.3046875" customWidth="1"/>
    <col min="20" max="20" width="11.53515625" customWidth="1"/>
    <col min="21" max="26" width="13" bestFit="1" customWidth="1"/>
    <col min="27" max="27" width="13.84375" bestFit="1" customWidth="1"/>
    <col min="28" max="31" width="13" bestFit="1" customWidth="1"/>
    <col min="32" max="32" width="13" customWidth="1"/>
    <col min="33" max="33" width="9.15234375" bestFit="1" customWidth="1"/>
    <col min="34" max="34" width="10.3046875" customWidth="1"/>
    <col min="35" max="36" width="11.3828125" bestFit="1" customWidth="1"/>
    <col min="37" max="37" width="9.15234375" bestFit="1" customWidth="1"/>
    <col min="38" max="38" width="47.69140625" customWidth="1"/>
    <col min="39" max="39" width="15" customWidth="1"/>
  </cols>
  <sheetData>
    <row r="1" spans="1:39" s="52" customFormat="1" ht="30.75" customHeight="1">
      <c r="A1" s="253" t="s">
        <v>145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L1" s="52" t="s">
        <v>146</v>
      </c>
      <c r="AM1" s="52" t="s">
        <v>147</v>
      </c>
    </row>
    <row r="3" spans="1:39" ht="15">
      <c r="A3" s="255" t="s">
        <v>148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H3" s="40">
        <v>1</v>
      </c>
      <c r="AI3" s="60">
        <v>44927</v>
      </c>
      <c r="AJ3" s="60">
        <v>44957</v>
      </c>
      <c r="AL3" s="85" t="s">
        <v>149</v>
      </c>
      <c r="AM3" s="86">
        <v>44928</v>
      </c>
    </row>
    <row r="4" spans="1:39" ht="15">
      <c r="A4" s="40" t="s">
        <v>46</v>
      </c>
      <c r="B4" s="40" t="s">
        <v>150</v>
      </c>
      <c r="C4" s="40" t="s">
        <v>151</v>
      </c>
      <c r="D4" s="40" t="s">
        <v>152</v>
      </c>
      <c r="E4" s="40" t="s">
        <v>153</v>
      </c>
      <c r="F4" s="40" t="s">
        <v>154</v>
      </c>
      <c r="G4" s="40" t="s">
        <v>155</v>
      </c>
      <c r="H4" s="40" t="s">
        <v>156</v>
      </c>
      <c r="I4" s="40" t="s">
        <v>157</v>
      </c>
      <c r="J4" s="40" t="s">
        <v>158</v>
      </c>
      <c r="K4" s="40" t="s">
        <v>159</v>
      </c>
      <c r="L4" s="40" t="s">
        <v>160</v>
      </c>
      <c r="M4" s="40" t="s">
        <v>161</v>
      </c>
      <c r="N4" s="96" t="s">
        <v>162</v>
      </c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H4" s="40">
        <v>2</v>
      </c>
      <c r="AI4" s="60">
        <v>44958</v>
      </c>
      <c r="AJ4" s="60">
        <v>44985</v>
      </c>
      <c r="AL4" s="90" t="s">
        <v>163</v>
      </c>
      <c r="AM4" s="86">
        <v>44946</v>
      </c>
    </row>
    <row r="5" spans="1:39" ht="15" customHeight="1">
      <c r="A5" s="10" t="s">
        <v>164</v>
      </c>
      <c r="B5" s="75">
        <f t="shared" ref="B5:M5" si="0">SUMIFS(T14:T17,$A$14:$A$17,$A$5)+SUMIFS(T25:T34,$A$25:$A$34,$A$5)</f>
        <v>0</v>
      </c>
      <c r="C5" s="75">
        <f t="shared" si="0"/>
        <v>250052240</v>
      </c>
      <c r="D5" s="75">
        <f t="shared" si="0"/>
        <v>100059799.99999999</v>
      </c>
      <c r="E5" s="75">
        <f t="shared" si="0"/>
        <v>350047360</v>
      </c>
      <c r="F5" s="75">
        <f t="shared" si="0"/>
        <v>100048400.00000009</v>
      </c>
      <c r="G5" s="75">
        <f t="shared" si="0"/>
        <v>730055040</v>
      </c>
      <c r="H5" s="75">
        <f t="shared" si="0"/>
        <v>265051799.99999994</v>
      </c>
      <c r="I5" s="75">
        <f t="shared" si="0"/>
        <v>397556440.00000006</v>
      </c>
      <c r="J5" s="75">
        <f t="shared" si="0"/>
        <v>397536280.00000006</v>
      </c>
      <c r="K5" s="75">
        <f t="shared" si="0"/>
        <v>132499999.99999982</v>
      </c>
      <c r="L5" s="75">
        <f t="shared" si="0"/>
        <v>397500000.00000006</v>
      </c>
      <c r="M5" s="104">
        <f t="shared" si="0"/>
        <v>0</v>
      </c>
      <c r="N5" s="55">
        <f>SUM(B5:M5)</f>
        <v>3120407360</v>
      </c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H5" s="40">
        <v>3</v>
      </c>
      <c r="AI5" s="60">
        <v>44986</v>
      </c>
      <c r="AJ5" s="60">
        <v>45016</v>
      </c>
      <c r="AL5" s="91"/>
      <c r="AM5" s="86">
        <v>44947</v>
      </c>
    </row>
    <row r="6" spans="1:39" ht="15">
      <c r="A6" s="10" t="s">
        <v>165</v>
      </c>
      <c r="B6" s="75">
        <f t="shared" ref="B6:M6" si="1">SUMIFS(T14:T17,$A$14:$A$17,$A$6)+SUMIFS(T25:T34,$A$25:$A$34,$A$6)</f>
        <v>42532280</v>
      </c>
      <c r="C6" s="75">
        <f t="shared" si="1"/>
        <v>85044160</v>
      </c>
      <c r="D6" s="75">
        <f t="shared" si="1"/>
        <v>85045440</v>
      </c>
      <c r="E6" s="75">
        <f t="shared" si="1"/>
        <v>42541959.999999993</v>
      </c>
      <c r="F6" s="75">
        <f t="shared" si="1"/>
        <v>85044800.00000003</v>
      </c>
      <c r="G6" s="75">
        <f t="shared" si="1"/>
        <v>42547039.999999993</v>
      </c>
      <c r="H6" s="75">
        <f t="shared" si="1"/>
        <v>85045080.00000003</v>
      </c>
      <c r="I6" s="75">
        <f t="shared" si="1"/>
        <v>127550199.99999993</v>
      </c>
      <c r="J6" s="75">
        <f t="shared" si="1"/>
        <v>42541920.000000037</v>
      </c>
      <c r="K6" s="75">
        <f t="shared" si="1"/>
        <v>127542560.00000001</v>
      </c>
      <c r="L6" s="75">
        <f t="shared" si="1"/>
        <v>84999999.999999985</v>
      </c>
      <c r="M6" s="104">
        <f t="shared" si="1"/>
        <v>0</v>
      </c>
      <c r="N6" s="55">
        <f>SUM(B6:M6)</f>
        <v>850435439.99999988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H6" s="40">
        <v>4</v>
      </c>
      <c r="AI6" s="60">
        <v>45017</v>
      </c>
      <c r="AJ6" s="60">
        <v>45046</v>
      </c>
      <c r="AL6" s="91"/>
      <c r="AM6" s="86">
        <v>44948</v>
      </c>
    </row>
    <row r="7" spans="1:39" ht="15">
      <c r="A7" s="10" t="s">
        <v>166</v>
      </c>
      <c r="B7" s="75">
        <f t="shared" ref="B7:M7" si="2">SUMIFS(T14:T17,$A$14:$A$17,$A$7)+SUMIFS(T25:T34,$A$25:$A$34,$A$7)</f>
        <v>0</v>
      </c>
      <c r="C7" s="75">
        <f t="shared" si="2"/>
        <v>183028080</v>
      </c>
      <c r="D7" s="75">
        <f t="shared" si="2"/>
        <v>183049680</v>
      </c>
      <c r="E7" s="75">
        <f t="shared" si="2"/>
        <v>152543200</v>
      </c>
      <c r="F7" s="75">
        <f t="shared" si="2"/>
        <v>91500000.000000015</v>
      </c>
      <c r="G7" s="75">
        <f t="shared" si="2"/>
        <v>0</v>
      </c>
      <c r="H7" s="75">
        <f t="shared" si="2"/>
        <v>0</v>
      </c>
      <c r="I7" s="75">
        <f t="shared" si="2"/>
        <v>0</v>
      </c>
      <c r="J7" s="75">
        <f t="shared" si="2"/>
        <v>0</v>
      </c>
      <c r="K7" s="75">
        <f t="shared" si="2"/>
        <v>0</v>
      </c>
      <c r="L7" s="75">
        <f t="shared" si="2"/>
        <v>0</v>
      </c>
      <c r="M7" s="104">
        <f t="shared" si="2"/>
        <v>0</v>
      </c>
      <c r="N7" s="55">
        <f>SUM(B7:M7)</f>
        <v>610120960</v>
      </c>
      <c r="O7" s="35"/>
      <c r="P7" s="35"/>
      <c r="Q7" s="35"/>
      <c r="R7" s="35"/>
      <c r="S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H7" s="40">
        <v>5</v>
      </c>
      <c r="AI7" s="60">
        <v>45047</v>
      </c>
      <c r="AJ7" s="60">
        <v>45077</v>
      </c>
      <c r="AL7" s="91"/>
      <c r="AM7" s="86">
        <v>44949</v>
      </c>
    </row>
    <row r="8" spans="1:39" ht="15">
      <c r="A8" s="35"/>
      <c r="B8" s="35"/>
      <c r="C8" s="35"/>
      <c r="D8" s="10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U8" s="35"/>
      <c r="V8" s="35"/>
      <c r="W8" s="35"/>
      <c r="X8" s="35"/>
      <c r="Y8" s="35"/>
      <c r="Z8" s="35"/>
      <c r="AA8" s="35"/>
      <c r="AB8" s="35"/>
      <c r="AD8" s="35"/>
      <c r="AE8" s="35"/>
      <c r="AF8" s="35"/>
      <c r="AH8" s="40">
        <v>6</v>
      </c>
      <c r="AI8" s="60">
        <v>45078</v>
      </c>
      <c r="AJ8" s="60">
        <v>45107</v>
      </c>
      <c r="AL8" s="91"/>
      <c r="AM8" s="86">
        <v>44950</v>
      </c>
    </row>
    <row r="9" spans="1:39" s="7" customFormat="1" ht="20.25" customHeight="1">
      <c r="A9" s="257" t="s">
        <v>167</v>
      </c>
      <c r="B9" s="257"/>
      <c r="C9" s="257"/>
      <c r="D9" s="257"/>
      <c r="E9" s="257"/>
      <c r="F9" s="257"/>
      <c r="J9" s="69"/>
      <c r="Q9" s="69"/>
      <c r="R9" s="69"/>
      <c r="S9" s="69"/>
      <c r="T9" s="258"/>
      <c r="U9" s="259"/>
      <c r="V9" s="259"/>
      <c r="W9" s="259"/>
      <c r="X9" s="259"/>
      <c r="Y9" s="259"/>
      <c r="Z9" s="69"/>
      <c r="AA9" s="69"/>
      <c r="AC9" s="69"/>
      <c r="AD9" s="69"/>
      <c r="AE9" s="69"/>
      <c r="AF9" s="69"/>
      <c r="AH9" s="40">
        <v>7</v>
      </c>
      <c r="AI9" s="60">
        <v>45108</v>
      </c>
      <c r="AJ9" s="60">
        <v>45138</v>
      </c>
      <c r="AL9" s="91"/>
      <c r="AM9" s="86">
        <v>44951</v>
      </c>
    </row>
    <row r="10" spans="1:39" ht="1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P10" s="35"/>
      <c r="Q10" s="35"/>
      <c r="R10" s="35"/>
      <c r="S10" s="35"/>
      <c r="T10" s="35"/>
      <c r="U10" s="35"/>
      <c r="V10" s="35"/>
      <c r="W10" s="35"/>
      <c r="X10" s="30"/>
      <c r="Y10" s="35"/>
      <c r="Z10" s="35"/>
      <c r="AA10" s="35"/>
      <c r="AB10" s="35"/>
      <c r="AD10" s="35"/>
      <c r="AE10" s="35"/>
      <c r="AF10" s="35"/>
      <c r="AH10" s="40">
        <v>8</v>
      </c>
      <c r="AI10" s="60">
        <v>45139</v>
      </c>
      <c r="AJ10" s="60">
        <v>45169</v>
      </c>
      <c r="AL10" s="92"/>
      <c r="AM10" s="86">
        <v>44952</v>
      </c>
    </row>
    <row r="11" spans="1:39" s="120" customFormat="1" ht="18.45">
      <c r="A11" s="119" t="s">
        <v>168</v>
      </c>
      <c r="B11" s="250" t="s">
        <v>169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2"/>
      <c r="AF11" s="56"/>
      <c r="AH11" s="102">
        <v>9</v>
      </c>
      <c r="AI11" s="121">
        <v>45170</v>
      </c>
      <c r="AJ11" s="121">
        <v>45199</v>
      </c>
      <c r="AL11" s="87" t="s">
        <v>170</v>
      </c>
      <c r="AM11" s="88">
        <v>45048</v>
      </c>
    </row>
    <row r="12" spans="1:39" s="5" customFormat="1" ht="15">
      <c r="A12" s="262" t="s">
        <v>171</v>
      </c>
      <c r="B12" s="262" t="s">
        <v>172</v>
      </c>
      <c r="C12" s="262" t="s">
        <v>173</v>
      </c>
      <c r="D12" s="262" t="s">
        <v>174</v>
      </c>
      <c r="E12" s="262" t="s">
        <v>175</v>
      </c>
      <c r="F12" s="262" t="s">
        <v>176</v>
      </c>
      <c r="G12" s="263" t="s">
        <v>177</v>
      </c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4" t="s">
        <v>178</v>
      </c>
      <c r="T12" s="260" t="s">
        <v>179</v>
      </c>
      <c r="U12" s="260" t="s">
        <v>180</v>
      </c>
      <c r="V12" s="260" t="s">
        <v>181</v>
      </c>
      <c r="W12" s="260" t="s">
        <v>182</v>
      </c>
      <c r="X12" s="260" t="s">
        <v>183</v>
      </c>
      <c r="Y12" s="260" t="s">
        <v>184</v>
      </c>
      <c r="Z12" s="260" t="s">
        <v>185</v>
      </c>
      <c r="AA12" s="260" t="s">
        <v>186</v>
      </c>
      <c r="AB12" s="260" t="s">
        <v>187</v>
      </c>
      <c r="AC12" s="260" t="s">
        <v>188</v>
      </c>
      <c r="AD12" s="260" t="s">
        <v>189</v>
      </c>
      <c r="AE12" s="260" t="s">
        <v>190</v>
      </c>
      <c r="AF12" s="56"/>
      <c r="AH12" s="40">
        <v>10</v>
      </c>
      <c r="AI12" s="60">
        <v>45200</v>
      </c>
      <c r="AJ12" s="60">
        <v>45230</v>
      </c>
      <c r="AL12" s="87" t="s">
        <v>191</v>
      </c>
      <c r="AM12" s="86">
        <v>45049</v>
      </c>
    </row>
    <row r="13" spans="1:39" s="5" customFormat="1" ht="15">
      <c r="A13" s="231"/>
      <c r="B13" s="231"/>
      <c r="C13" s="231"/>
      <c r="D13" s="231"/>
      <c r="E13" s="231"/>
      <c r="F13" s="231"/>
      <c r="G13" s="40" t="s">
        <v>150</v>
      </c>
      <c r="H13" s="40" t="s">
        <v>151</v>
      </c>
      <c r="I13" s="40" t="s">
        <v>152</v>
      </c>
      <c r="J13" s="40" t="s">
        <v>153</v>
      </c>
      <c r="K13" s="40" t="s">
        <v>154</v>
      </c>
      <c r="L13" s="40" t="s">
        <v>155</v>
      </c>
      <c r="M13" s="40" t="s">
        <v>156</v>
      </c>
      <c r="N13" s="40" t="s">
        <v>157</v>
      </c>
      <c r="O13" s="40" t="s">
        <v>158</v>
      </c>
      <c r="P13" s="40" t="s">
        <v>159</v>
      </c>
      <c r="Q13" s="40" t="s">
        <v>160</v>
      </c>
      <c r="R13" s="40" t="s">
        <v>161</v>
      </c>
      <c r="S13" s="265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56"/>
      <c r="AH13" s="40">
        <v>11</v>
      </c>
      <c r="AI13" s="60">
        <v>45231</v>
      </c>
      <c r="AJ13" s="60">
        <v>45260</v>
      </c>
      <c r="AL13" s="85" t="s">
        <v>192</v>
      </c>
      <c r="AM13" s="89">
        <v>45047</v>
      </c>
    </row>
    <row r="14" spans="1:39" s="5" customFormat="1" ht="15">
      <c r="A14" s="10" t="s">
        <v>164</v>
      </c>
      <c r="B14" s="10">
        <v>5</v>
      </c>
      <c r="C14" s="10" t="s">
        <v>193</v>
      </c>
      <c r="D14" s="108" t="str">
        <f>$A$11&amp;"_"&amp;C14&amp;"_"&amp;"001"</f>
        <v>FC_AN1_001</v>
      </c>
      <c r="E14" s="14">
        <v>44958</v>
      </c>
      <c r="F14" s="14">
        <v>45130</v>
      </c>
      <c r="G14" s="10">
        <v>0</v>
      </c>
      <c r="H14" s="38">
        <v>0.25</v>
      </c>
      <c r="I14" s="38">
        <v>0.35</v>
      </c>
      <c r="J14" s="38">
        <v>0.7</v>
      </c>
      <c r="K14" s="38">
        <v>0.8</v>
      </c>
      <c r="L14" s="38">
        <v>1</v>
      </c>
      <c r="M14" s="38">
        <v>1</v>
      </c>
      <c r="N14" s="11" t="s">
        <v>194</v>
      </c>
      <c r="O14" s="11" t="s">
        <v>194</v>
      </c>
      <c r="P14" s="11" t="s">
        <v>194</v>
      </c>
      <c r="Q14" s="11" t="s">
        <v>194</v>
      </c>
      <c r="R14" s="11" t="s">
        <v>194</v>
      </c>
      <c r="S14" s="37">
        <v>1000000000</v>
      </c>
      <c r="T14" s="106">
        <v>0</v>
      </c>
      <c r="U14" s="106">
        <f t="shared" ref="U14:Z14" si="3">(H14-G14)*$S$14</f>
        <v>250000000</v>
      </c>
      <c r="V14" s="106">
        <f t="shared" si="3"/>
        <v>99999999.999999985</v>
      </c>
      <c r="W14" s="106">
        <f t="shared" si="3"/>
        <v>350000000</v>
      </c>
      <c r="X14" s="106">
        <f t="shared" si="3"/>
        <v>100000000.00000009</v>
      </c>
      <c r="Y14" s="106">
        <f t="shared" si="3"/>
        <v>199999999.99999997</v>
      </c>
      <c r="Z14" s="106">
        <f t="shared" si="3"/>
        <v>0</v>
      </c>
      <c r="AA14" s="106"/>
      <c r="AB14" s="106"/>
      <c r="AC14" s="106"/>
      <c r="AD14" s="106"/>
      <c r="AE14" s="106"/>
      <c r="AF14" s="36"/>
      <c r="AH14" s="40">
        <v>12</v>
      </c>
      <c r="AI14" s="60">
        <v>45261</v>
      </c>
      <c r="AJ14" s="60">
        <v>45291</v>
      </c>
      <c r="AL14" s="93" t="s">
        <v>195</v>
      </c>
      <c r="AM14" s="86">
        <v>45170</v>
      </c>
    </row>
    <row r="15" spans="1:39" s="5" customFormat="1" ht="15">
      <c r="A15" s="10" t="s">
        <v>164</v>
      </c>
      <c r="B15" s="10">
        <v>11</v>
      </c>
      <c r="C15" s="10" t="s">
        <v>193</v>
      </c>
      <c r="D15" s="108" t="str">
        <f>$A$11&amp;"_"&amp;C15&amp;"_"&amp;"001"</f>
        <v>FC_AN1_001</v>
      </c>
      <c r="E15" s="14">
        <v>45050</v>
      </c>
      <c r="F15" s="14">
        <v>45283</v>
      </c>
      <c r="G15" s="10">
        <v>0</v>
      </c>
      <c r="H15" s="11" t="s">
        <v>194</v>
      </c>
      <c r="I15" s="11" t="s">
        <v>194</v>
      </c>
      <c r="J15" s="11" t="s">
        <v>194</v>
      </c>
      <c r="K15" s="38">
        <v>0.2</v>
      </c>
      <c r="L15" s="38">
        <v>0.4</v>
      </c>
      <c r="M15" s="38">
        <v>0.5</v>
      </c>
      <c r="N15" s="38">
        <v>0.65</v>
      </c>
      <c r="O15" s="38">
        <v>0.8</v>
      </c>
      <c r="P15" s="38">
        <v>0.85</v>
      </c>
      <c r="Q15" s="38">
        <v>1</v>
      </c>
      <c r="R15" s="38">
        <v>1</v>
      </c>
      <c r="S15" s="37">
        <v>2650000000</v>
      </c>
      <c r="T15" s="106">
        <v>0</v>
      </c>
      <c r="U15" s="106"/>
      <c r="V15" s="106"/>
      <c r="W15" s="106"/>
      <c r="X15" s="106"/>
      <c r="Y15" s="106">
        <f t="shared" ref="Y15:AE15" si="4">(L15-K15)*$S$15</f>
        <v>530000000</v>
      </c>
      <c r="Z15" s="106">
        <f t="shared" si="4"/>
        <v>264999999.99999994</v>
      </c>
      <c r="AA15" s="106">
        <f t="shared" si="4"/>
        <v>397500000.00000006</v>
      </c>
      <c r="AB15" s="106">
        <f t="shared" si="4"/>
        <v>397500000.00000006</v>
      </c>
      <c r="AC15" s="106">
        <f t="shared" si="4"/>
        <v>132499999.99999982</v>
      </c>
      <c r="AD15" s="106">
        <f t="shared" si="4"/>
        <v>397500000.00000006</v>
      </c>
      <c r="AE15" s="106">
        <f t="shared" si="4"/>
        <v>0</v>
      </c>
      <c r="AF15" s="36"/>
      <c r="AL15" s="93"/>
      <c r="AM15" s="86">
        <v>45171</v>
      </c>
    </row>
    <row r="16" spans="1:39" s="5" customFormat="1" ht="15" customHeight="1">
      <c r="A16" s="10" t="s">
        <v>165</v>
      </c>
      <c r="B16" s="10">
        <v>7</v>
      </c>
      <c r="C16" s="10" t="s">
        <v>196</v>
      </c>
      <c r="D16" s="108" t="str">
        <f>$A$11&amp;"_"&amp;C16&amp;"_"&amp;"001"</f>
        <v>FC_AN2_001</v>
      </c>
      <c r="E16" s="14">
        <v>44927</v>
      </c>
      <c r="F16" s="14">
        <v>45350</v>
      </c>
      <c r="G16" s="38">
        <v>0.05</v>
      </c>
      <c r="H16" s="38">
        <v>0.15</v>
      </c>
      <c r="I16" s="38">
        <v>0.25</v>
      </c>
      <c r="J16" s="38">
        <v>0.3</v>
      </c>
      <c r="K16" s="38">
        <v>0.4</v>
      </c>
      <c r="L16" s="38">
        <v>0.45</v>
      </c>
      <c r="M16" s="38">
        <v>0.55000000000000004</v>
      </c>
      <c r="N16" s="38">
        <v>0.7</v>
      </c>
      <c r="O16" s="38">
        <v>0.75</v>
      </c>
      <c r="P16" s="38">
        <v>0.9</v>
      </c>
      <c r="Q16" s="38">
        <v>1</v>
      </c>
      <c r="R16" s="38">
        <v>1</v>
      </c>
      <c r="S16" s="37">
        <v>850000000</v>
      </c>
      <c r="T16" s="106">
        <f>G16*$S$16</f>
        <v>42500000</v>
      </c>
      <c r="U16" s="106">
        <f t="shared" ref="U16:AE16" si="5">(H16-G16)*$S$16</f>
        <v>85000000</v>
      </c>
      <c r="V16" s="106">
        <f t="shared" si="5"/>
        <v>85000000</v>
      </c>
      <c r="W16" s="106">
        <f t="shared" si="5"/>
        <v>42499999.999999993</v>
      </c>
      <c r="X16" s="106">
        <f t="shared" si="5"/>
        <v>85000000.00000003</v>
      </c>
      <c r="Y16" s="106">
        <f t="shared" si="5"/>
        <v>42499999.999999993</v>
      </c>
      <c r="Z16" s="106">
        <f t="shared" si="5"/>
        <v>85000000.00000003</v>
      </c>
      <c r="AA16" s="106">
        <f t="shared" si="5"/>
        <v>127499999.99999993</v>
      </c>
      <c r="AB16" s="106">
        <f t="shared" si="5"/>
        <v>42500000.000000037</v>
      </c>
      <c r="AC16" s="106">
        <f t="shared" si="5"/>
        <v>127500000.00000001</v>
      </c>
      <c r="AD16" s="106">
        <f t="shared" si="5"/>
        <v>84999999.999999985</v>
      </c>
      <c r="AE16" s="106">
        <f t="shared" si="5"/>
        <v>0</v>
      </c>
      <c r="AF16" s="36"/>
      <c r="AL16" s="93"/>
      <c r="AM16" s="86">
        <v>45172</v>
      </c>
    </row>
    <row r="17" spans="1:39" s="5" customFormat="1" ht="15">
      <c r="A17" s="10" t="s">
        <v>166</v>
      </c>
      <c r="B17" s="10">
        <v>4</v>
      </c>
      <c r="C17" s="10" t="s">
        <v>197</v>
      </c>
      <c r="D17" s="108" t="str">
        <f>$A$11&amp;"_"&amp;C17&amp;"_"&amp;"001"</f>
        <v>FC_AN3_001</v>
      </c>
      <c r="E17" s="14">
        <v>44970</v>
      </c>
      <c r="F17" s="14">
        <v>45074</v>
      </c>
      <c r="G17" s="10">
        <v>0</v>
      </c>
      <c r="H17" s="38">
        <v>0.3</v>
      </c>
      <c r="I17" s="38">
        <v>0.6</v>
      </c>
      <c r="J17" s="38">
        <v>0.85</v>
      </c>
      <c r="K17" s="38">
        <v>1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37">
        <v>610000000</v>
      </c>
      <c r="T17" s="106">
        <v>0</v>
      </c>
      <c r="U17" s="106">
        <f>(H17-G17)*$S$17</f>
        <v>183000000</v>
      </c>
      <c r="V17" s="106">
        <f>(I17-H17)*$S$17</f>
        <v>183000000</v>
      </c>
      <c r="W17" s="106">
        <f>(J17-I17)*$S$17</f>
        <v>152500000</v>
      </c>
      <c r="X17" s="106">
        <f>(K17-J17)*$S$17</f>
        <v>91500000.000000015</v>
      </c>
      <c r="Y17" s="106"/>
      <c r="Z17" s="106"/>
      <c r="AA17" s="106"/>
      <c r="AB17" s="106"/>
      <c r="AC17" s="106"/>
      <c r="AD17" s="106"/>
      <c r="AE17" s="106"/>
      <c r="AF17" s="36"/>
      <c r="AL17" s="93"/>
      <c r="AM17" s="86">
        <v>45173</v>
      </c>
    </row>
    <row r="18" spans="1:39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C18" s="35"/>
      <c r="AD18" s="35"/>
      <c r="AE18" s="35"/>
      <c r="AF18" s="35"/>
    </row>
    <row r="19" spans="1:39" s="7" customFormat="1" ht="20.25" customHeight="1">
      <c r="A19" s="266" t="s">
        <v>198</v>
      </c>
      <c r="B19" s="266"/>
      <c r="C19" s="266"/>
      <c r="D19" s="266"/>
      <c r="E19" s="266"/>
      <c r="F19" s="266"/>
      <c r="J19" s="69"/>
      <c r="Q19" s="69"/>
      <c r="R19" s="69"/>
      <c r="S19" s="69"/>
      <c r="T19" s="258"/>
      <c r="U19" s="259"/>
      <c r="V19" s="259"/>
      <c r="W19" s="259"/>
      <c r="X19" s="259"/>
      <c r="Y19" s="259"/>
      <c r="Z19" s="69"/>
      <c r="AA19" s="69"/>
      <c r="AC19" s="69"/>
      <c r="AD19" s="69"/>
      <c r="AE19" s="69"/>
      <c r="AF19" s="69"/>
    </row>
    <row r="20" spans="1:39">
      <c r="A20" s="34"/>
      <c r="B20" s="34"/>
      <c r="C20" s="34"/>
      <c r="D20" s="10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C20" s="35"/>
      <c r="AD20" s="35"/>
      <c r="AE20" s="35"/>
      <c r="AF20" s="35"/>
    </row>
    <row r="21" spans="1:39" s="5" customFormat="1" ht="18.45">
      <c r="A21" s="107" t="s">
        <v>199</v>
      </c>
      <c r="B21" s="247" t="s">
        <v>200</v>
      </c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9"/>
    </row>
    <row r="22" spans="1:39" s="7" customFormat="1" ht="33" customHeight="1">
      <c r="A22" s="230" t="s">
        <v>171</v>
      </c>
      <c r="B22" s="230" t="s">
        <v>201</v>
      </c>
      <c r="C22" s="230" t="s">
        <v>173</v>
      </c>
      <c r="D22" s="230" t="s">
        <v>174</v>
      </c>
      <c r="E22" s="230" t="s">
        <v>175</v>
      </c>
      <c r="F22" s="230" t="s">
        <v>176</v>
      </c>
      <c r="G22" s="268" t="s">
        <v>202</v>
      </c>
      <c r="H22" s="263" t="s">
        <v>203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7" t="s">
        <v>179</v>
      </c>
      <c r="U22" s="270" t="s">
        <v>180</v>
      </c>
      <c r="V22" s="265" t="s">
        <v>181</v>
      </c>
      <c r="W22" s="265" t="s">
        <v>182</v>
      </c>
      <c r="X22" s="265" t="s">
        <v>183</v>
      </c>
      <c r="Y22" s="265" t="s">
        <v>184</v>
      </c>
      <c r="Z22" s="265" t="s">
        <v>185</v>
      </c>
      <c r="AA22" s="265" t="s">
        <v>186</v>
      </c>
      <c r="AB22" s="265" t="s">
        <v>187</v>
      </c>
      <c r="AC22" s="265" t="s">
        <v>188</v>
      </c>
      <c r="AD22" s="265" t="s">
        <v>189</v>
      </c>
      <c r="AE22" s="265" t="s">
        <v>190</v>
      </c>
    </row>
    <row r="23" spans="1:39" s="7" customFormat="1" ht="19.5" customHeight="1">
      <c r="A23" s="231"/>
      <c r="B23" s="231"/>
      <c r="C23" s="231"/>
      <c r="D23" s="231"/>
      <c r="E23" s="231"/>
      <c r="F23" s="231"/>
      <c r="G23" s="269"/>
      <c r="H23" s="40">
        <v>1</v>
      </c>
      <c r="I23" s="40">
        <v>2</v>
      </c>
      <c r="J23" s="40">
        <v>3</v>
      </c>
      <c r="K23" s="40">
        <v>4</v>
      </c>
      <c r="L23" s="40">
        <v>5</v>
      </c>
      <c r="M23" s="40">
        <v>6</v>
      </c>
      <c r="N23" s="40">
        <v>7</v>
      </c>
      <c r="O23" s="40">
        <v>8</v>
      </c>
      <c r="P23" s="40">
        <v>9</v>
      </c>
      <c r="Q23" s="40">
        <v>10</v>
      </c>
      <c r="R23" s="40">
        <v>11</v>
      </c>
      <c r="S23" s="40">
        <v>12</v>
      </c>
      <c r="T23" s="267"/>
      <c r="U23" s="271"/>
      <c r="V23" s="267"/>
      <c r="W23" s="267"/>
      <c r="X23" s="267"/>
      <c r="Y23" s="267"/>
      <c r="Z23" s="267"/>
      <c r="AA23" s="267"/>
      <c r="AB23" s="267"/>
      <c r="AC23" s="267"/>
      <c r="AD23" s="267"/>
      <c r="AE23" s="267"/>
    </row>
    <row r="24" spans="1:39" s="7" customFormat="1" ht="19.5" customHeight="1">
      <c r="A24" s="82"/>
      <c r="B24" s="82"/>
      <c r="C24" s="82"/>
      <c r="D24" s="82"/>
      <c r="E24" s="82"/>
      <c r="F24" s="82"/>
      <c r="G24" s="83"/>
      <c r="H24" s="82">
        <f t="shared" ref="H24:S24" si="6">NETWORKDAYS.INTL(VLOOKUP(H23,$AH$3:$AJ$14,2),VLOOKUP(H23,$AH$3:$AJ$14,3),"0000011",$AM$3:$AM$17)</f>
        <v>16</v>
      </c>
      <c r="I24" s="82">
        <f t="shared" si="6"/>
        <v>20</v>
      </c>
      <c r="J24" s="82">
        <f t="shared" si="6"/>
        <v>23</v>
      </c>
      <c r="K24" s="82">
        <f t="shared" si="6"/>
        <v>20</v>
      </c>
      <c r="L24" s="82">
        <f t="shared" si="6"/>
        <v>20</v>
      </c>
      <c r="M24" s="82">
        <f t="shared" si="6"/>
        <v>22</v>
      </c>
      <c r="N24" s="82">
        <f t="shared" si="6"/>
        <v>21</v>
      </c>
      <c r="O24" s="82">
        <f t="shared" si="6"/>
        <v>23</v>
      </c>
      <c r="P24" s="82">
        <f t="shared" si="6"/>
        <v>19</v>
      </c>
      <c r="Q24" s="82">
        <f t="shared" si="6"/>
        <v>22</v>
      </c>
      <c r="R24" s="82">
        <f t="shared" si="6"/>
        <v>22</v>
      </c>
      <c r="S24" s="82">
        <f t="shared" si="6"/>
        <v>21</v>
      </c>
      <c r="T24" s="114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</row>
    <row r="25" spans="1:39" s="5" customFormat="1">
      <c r="A25" s="10" t="s">
        <v>164</v>
      </c>
      <c r="B25" s="10" t="s">
        <v>204</v>
      </c>
      <c r="C25" s="108" t="s">
        <v>205</v>
      </c>
      <c r="D25" s="108" t="str">
        <f t="shared" ref="D25:D34" si="7">$A$21&amp;"_"&amp;C25&amp;"_"&amp;"001"</f>
        <v>TB_RAK_001</v>
      </c>
      <c r="E25" s="14">
        <v>44958</v>
      </c>
      <c r="F25" s="109">
        <v>45000</v>
      </c>
      <c r="G25" s="74">
        <v>30</v>
      </c>
      <c r="H25" s="11">
        <v>0</v>
      </c>
      <c r="I25" s="110">
        <f>NETWORKDAYS.INTL(E25,VLOOKUP($I$23,$AH$3:$AJ$14,3),"0000011",$AM$3:$AM$17)</f>
        <v>20</v>
      </c>
      <c r="J25" s="97">
        <f>NETWORKDAYS.INTL(VLOOKUP(J23,$AH$3:$AJ$14,2),F25,"0000011",$AM$3:$AM$17)</f>
        <v>11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80">
        <v>0</v>
      </c>
      <c r="T25" s="79">
        <f t="shared" ref="T25:AE25" si="8">H25*$G$25*8</f>
        <v>0</v>
      </c>
      <c r="U25" s="79">
        <f t="shared" si="8"/>
        <v>4800</v>
      </c>
      <c r="V25" s="79">
        <f t="shared" si="8"/>
        <v>2640</v>
      </c>
      <c r="W25" s="79">
        <f t="shared" si="8"/>
        <v>0</v>
      </c>
      <c r="X25" s="79">
        <f t="shared" si="8"/>
        <v>0</v>
      </c>
      <c r="Y25" s="79">
        <f t="shared" si="8"/>
        <v>0</v>
      </c>
      <c r="Z25" s="79">
        <f t="shared" si="8"/>
        <v>0</v>
      </c>
      <c r="AA25" s="79">
        <f t="shared" si="8"/>
        <v>0</v>
      </c>
      <c r="AB25" s="79">
        <f t="shared" si="8"/>
        <v>0</v>
      </c>
      <c r="AC25" s="79">
        <f t="shared" si="8"/>
        <v>0</v>
      </c>
      <c r="AD25" s="79">
        <f t="shared" si="8"/>
        <v>0</v>
      </c>
      <c r="AE25" s="79">
        <f t="shared" si="8"/>
        <v>0</v>
      </c>
    </row>
    <row r="26" spans="1:39" s="5" customFormat="1">
      <c r="A26" s="10" t="s">
        <v>164</v>
      </c>
      <c r="B26" s="10" t="s">
        <v>206</v>
      </c>
      <c r="C26" s="108" t="s">
        <v>205</v>
      </c>
      <c r="D26" s="108" t="str">
        <f t="shared" si="7"/>
        <v>TB_RAK_001</v>
      </c>
      <c r="E26" s="14">
        <v>44958</v>
      </c>
      <c r="F26" s="109">
        <v>45194</v>
      </c>
      <c r="G26" s="74">
        <v>50</v>
      </c>
      <c r="H26" s="11">
        <v>0</v>
      </c>
      <c r="I26" s="110">
        <v>18</v>
      </c>
      <c r="J26" s="11">
        <f>$J$24</f>
        <v>23</v>
      </c>
      <c r="K26" s="11">
        <f>$K$24</f>
        <v>20</v>
      </c>
      <c r="L26" s="11">
        <f>$L$24</f>
        <v>20</v>
      </c>
      <c r="M26" s="11">
        <v>21</v>
      </c>
      <c r="N26" s="11">
        <v>20</v>
      </c>
      <c r="O26" s="11">
        <f>$O$24</f>
        <v>23</v>
      </c>
      <c r="P26" s="111">
        <f>NETWORKDAYS.INTL(VLOOKUP($P$23,$AH$3:$AJ$14,2),F26,"0000011",$AM$3:$AM$17)</f>
        <v>15</v>
      </c>
      <c r="Q26" s="11">
        <v>0</v>
      </c>
      <c r="R26" s="11">
        <v>0</v>
      </c>
      <c r="S26" s="80">
        <v>0</v>
      </c>
      <c r="T26" s="79">
        <f t="shared" ref="T26:AE26" si="9">H26*$G$26*8</f>
        <v>0</v>
      </c>
      <c r="U26" s="79">
        <f t="shared" si="9"/>
        <v>7200</v>
      </c>
      <c r="V26" s="79">
        <f t="shared" si="9"/>
        <v>9200</v>
      </c>
      <c r="W26" s="79">
        <f t="shared" si="9"/>
        <v>8000</v>
      </c>
      <c r="X26" s="79">
        <f t="shared" si="9"/>
        <v>8000</v>
      </c>
      <c r="Y26" s="79">
        <f t="shared" si="9"/>
        <v>8400</v>
      </c>
      <c r="Z26" s="79">
        <f t="shared" si="9"/>
        <v>8000</v>
      </c>
      <c r="AA26" s="79">
        <f t="shared" si="9"/>
        <v>9200</v>
      </c>
      <c r="AB26" s="79">
        <f t="shared" si="9"/>
        <v>6000</v>
      </c>
      <c r="AC26" s="79">
        <f t="shared" si="9"/>
        <v>0</v>
      </c>
      <c r="AD26" s="79">
        <f t="shared" si="9"/>
        <v>0</v>
      </c>
      <c r="AE26" s="79">
        <f t="shared" si="9"/>
        <v>0</v>
      </c>
    </row>
    <row r="27" spans="1:39" s="5" customFormat="1">
      <c r="A27" s="10" t="s">
        <v>164</v>
      </c>
      <c r="B27" s="10" t="s">
        <v>207</v>
      </c>
      <c r="C27" s="108" t="s">
        <v>205</v>
      </c>
      <c r="D27" s="108" t="str">
        <f t="shared" si="7"/>
        <v>TB_RAK_001</v>
      </c>
      <c r="E27" s="14">
        <v>44958</v>
      </c>
      <c r="F27" s="109">
        <v>45194</v>
      </c>
      <c r="G27" s="74">
        <v>75</v>
      </c>
      <c r="H27" s="11">
        <v>0</v>
      </c>
      <c r="I27" s="110">
        <f>NETWORKDAYS.INTL(E27,VLOOKUP($I$23,$AH$3:$AJ$14,3),"0000011",$AM$3:$AM$17)</f>
        <v>20</v>
      </c>
      <c r="J27" s="11">
        <f>$J$24</f>
        <v>23</v>
      </c>
      <c r="K27" s="11">
        <f>$K$24</f>
        <v>20</v>
      </c>
      <c r="L27" s="11">
        <v>18</v>
      </c>
      <c r="M27" s="11">
        <f>$M$24</f>
        <v>22</v>
      </c>
      <c r="N27" s="11">
        <f>$N$24</f>
        <v>21</v>
      </c>
      <c r="O27" s="11">
        <f>$O$24</f>
        <v>23</v>
      </c>
      <c r="P27" s="111">
        <f>NETWORKDAYS.INTL(VLOOKUP($P$23,$AH$3:$AJ$14,2),F27,"0000011",$AM$3:$AM$17)</f>
        <v>15</v>
      </c>
      <c r="Q27" s="11">
        <v>0</v>
      </c>
      <c r="R27" s="11">
        <v>0</v>
      </c>
      <c r="S27" s="80">
        <v>0</v>
      </c>
      <c r="T27" s="79">
        <f t="shared" ref="T27:AE27" si="10">H27*$G$27*8</f>
        <v>0</v>
      </c>
      <c r="U27" s="79">
        <f t="shared" si="10"/>
        <v>12000</v>
      </c>
      <c r="V27" s="79">
        <f t="shared" si="10"/>
        <v>13800</v>
      </c>
      <c r="W27" s="79">
        <f t="shared" si="10"/>
        <v>12000</v>
      </c>
      <c r="X27" s="79">
        <f t="shared" si="10"/>
        <v>10800</v>
      </c>
      <c r="Y27" s="79">
        <f t="shared" si="10"/>
        <v>13200</v>
      </c>
      <c r="Z27" s="79">
        <f t="shared" si="10"/>
        <v>12600</v>
      </c>
      <c r="AA27" s="79">
        <f t="shared" si="10"/>
        <v>13800</v>
      </c>
      <c r="AB27" s="79">
        <f t="shared" si="10"/>
        <v>9000</v>
      </c>
      <c r="AC27" s="79">
        <f t="shared" si="10"/>
        <v>0</v>
      </c>
      <c r="AD27" s="79">
        <f t="shared" si="10"/>
        <v>0</v>
      </c>
      <c r="AE27" s="79">
        <f t="shared" si="10"/>
        <v>0</v>
      </c>
    </row>
    <row r="28" spans="1:39" s="5" customFormat="1">
      <c r="A28" s="10" t="s">
        <v>164</v>
      </c>
      <c r="B28" s="10" t="s">
        <v>208</v>
      </c>
      <c r="C28" s="108" t="s">
        <v>205</v>
      </c>
      <c r="D28" s="108" t="str">
        <f t="shared" si="7"/>
        <v>TB_RAK_001</v>
      </c>
      <c r="E28" s="14">
        <v>44958</v>
      </c>
      <c r="F28" s="109">
        <v>45194</v>
      </c>
      <c r="G28" s="74">
        <v>90</v>
      </c>
      <c r="H28" s="11">
        <v>0</v>
      </c>
      <c r="I28" s="110">
        <v>17</v>
      </c>
      <c r="J28" s="11">
        <f>$J$24</f>
        <v>23</v>
      </c>
      <c r="K28" s="11">
        <v>18</v>
      </c>
      <c r="L28" s="11">
        <f>$L$24</f>
        <v>20</v>
      </c>
      <c r="M28" s="11">
        <f>$M$24</f>
        <v>22</v>
      </c>
      <c r="N28" s="11">
        <v>20</v>
      </c>
      <c r="O28" s="11">
        <v>22</v>
      </c>
      <c r="P28" s="111">
        <v>14</v>
      </c>
      <c r="Q28" s="11">
        <v>0</v>
      </c>
      <c r="R28" s="11">
        <v>0</v>
      </c>
      <c r="S28" s="80">
        <v>0</v>
      </c>
      <c r="T28" s="79">
        <f t="shared" ref="T28:AE28" si="11">H28*$G$28*8</f>
        <v>0</v>
      </c>
      <c r="U28" s="79">
        <f t="shared" si="11"/>
        <v>12240</v>
      </c>
      <c r="V28" s="79">
        <f t="shared" si="11"/>
        <v>16560</v>
      </c>
      <c r="W28" s="79">
        <f t="shared" si="11"/>
        <v>12960</v>
      </c>
      <c r="X28" s="79">
        <f t="shared" si="11"/>
        <v>14400</v>
      </c>
      <c r="Y28" s="79">
        <f t="shared" si="11"/>
        <v>15840</v>
      </c>
      <c r="Z28" s="79">
        <f t="shared" si="11"/>
        <v>14400</v>
      </c>
      <c r="AA28" s="79">
        <f t="shared" si="11"/>
        <v>15840</v>
      </c>
      <c r="AB28" s="79">
        <f t="shared" si="11"/>
        <v>10080</v>
      </c>
      <c r="AC28" s="79">
        <f t="shared" si="11"/>
        <v>0</v>
      </c>
      <c r="AD28" s="79">
        <f t="shared" si="11"/>
        <v>0</v>
      </c>
      <c r="AE28" s="79">
        <f t="shared" si="11"/>
        <v>0</v>
      </c>
    </row>
    <row r="29" spans="1:39" s="5" customFormat="1">
      <c r="A29" s="10" t="s">
        <v>164</v>
      </c>
      <c r="B29" s="10" t="s">
        <v>209</v>
      </c>
      <c r="C29" s="117" t="s">
        <v>205</v>
      </c>
      <c r="D29" s="117" t="str">
        <f t="shared" si="7"/>
        <v>TB_RAK_001</v>
      </c>
      <c r="E29" s="14">
        <v>44958</v>
      </c>
      <c r="F29" s="109">
        <v>45194</v>
      </c>
      <c r="G29" s="74">
        <v>100</v>
      </c>
      <c r="H29" s="11">
        <v>0</v>
      </c>
      <c r="I29" s="110">
        <f>NETWORKDAYS.INTL(E29,VLOOKUP($I$23,$AH$3:$AJ$14,3),"0000011",$AM$3:$AM$17)</f>
        <v>20</v>
      </c>
      <c r="J29" s="11">
        <v>22</v>
      </c>
      <c r="K29" s="11">
        <v>18</v>
      </c>
      <c r="L29" s="11">
        <v>19</v>
      </c>
      <c r="M29" s="11">
        <f>$M$24</f>
        <v>22</v>
      </c>
      <c r="N29" s="11">
        <f>$N$24</f>
        <v>21</v>
      </c>
      <c r="O29" s="11">
        <v>22</v>
      </c>
      <c r="P29" s="111">
        <v>14</v>
      </c>
      <c r="Q29" s="11">
        <v>0</v>
      </c>
      <c r="R29" s="11">
        <v>0</v>
      </c>
      <c r="S29" s="80">
        <v>0</v>
      </c>
      <c r="T29" s="79">
        <f t="shared" ref="T29:AE29" si="12">H29*$G$29*8</f>
        <v>0</v>
      </c>
      <c r="U29" s="79">
        <f t="shared" si="12"/>
        <v>16000</v>
      </c>
      <c r="V29" s="79">
        <f t="shared" si="12"/>
        <v>17600</v>
      </c>
      <c r="W29" s="79">
        <f t="shared" si="12"/>
        <v>14400</v>
      </c>
      <c r="X29" s="79">
        <f t="shared" si="12"/>
        <v>15200</v>
      </c>
      <c r="Y29" s="79">
        <f t="shared" si="12"/>
        <v>17600</v>
      </c>
      <c r="Z29" s="79">
        <f t="shared" si="12"/>
        <v>16800</v>
      </c>
      <c r="AA29" s="79">
        <f t="shared" si="12"/>
        <v>17600</v>
      </c>
      <c r="AB29" s="79">
        <f t="shared" si="12"/>
        <v>11200</v>
      </c>
      <c r="AC29" s="79">
        <f t="shared" si="12"/>
        <v>0</v>
      </c>
      <c r="AD29" s="79">
        <f t="shared" si="12"/>
        <v>0</v>
      </c>
      <c r="AE29" s="79">
        <f t="shared" si="12"/>
        <v>0</v>
      </c>
    </row>
    <row r="30" spans="1:39" s="5" customFormat="1">
      <c r="A30" s="10" t="s">
        <v>165</v>
      </c>
      <c r="B30" s="74" t="s">
        <v>210</v>
      </c>
      <c r="C30" s="112" t="s">
        <v>211</v>
      </c>
      <c r="D30" s="112" t="str">
        <f t="shared" si="7"/>
        <v>TB_BKT_001</v>
      </c>
      <c r="E30" s="73">
        <v>44927</v>
      </c>
      <c r="F30" s="109">
        <v>45227</v>
      </c>
      <c r="G30" s="74">
        <v>80</v>
      </c>
      <c r="H30" s="11">
        <v>14</v>
      </c>
      <c r="I30" s="110">
        <v>19</v>
      </c>
      <c r="J30" s="11">
        <v>21</v>
      </c>
      <c r="K30" s="11">
        <v>17</v>
      </c>
      <c r="L30" s="11">
        <f>$L$24</f>
        <v>20</v>
      </c>
      <c r="M30" s="11">
        <v>21</v>
      </c>
      <c r="N30" s="11">
        <v>19</v>
      </c>
      <c r="O30" s="11">
        <v>22</v>
      </c>
      <c r="P30" s="11">
        <v>18</v>
      </c>
      <c r="Q30" s="97">
        <v>19</v>
      </c>
      <c r="R30" s="11">
        <v>0</v>
      </c>
      <c r="S30" s="11">
        <v>0</v>
      </c>
      <c r="T30" s="79">
        <f t="shared" ref="T30:AE30" si="13">H30*$G$30*8</f>
        <v>8960</v>
      </c>
      <c r="U30" s="79">
        <f t="shared" si="13"/>
        <v>12160</v>
      </c>
      <c r="V30" s="79">
        <f t="shared" si="13"/>
        <v>13440</v>
      </c>
      <c r="W30" s="79">
        <f t="shared" si="13"/>
        <v>10880</v>
      </c>
      <c r="X30" s="79">
        <f t="shared" si="13"/>
        <v>12800</v>
      </c>
      <c r="Y30" s="79">
        <f t="shared" si="13"/>
        <v>13440</v>
      </c>
      <c r="Z30" s="79">
        <f t="shared" si="13"/>
        <v>12160</v>
      </c>
      <c r="AA30" s="79">
        <f t="shared" si="13"/>
        <v>14080</v>
      </c>
      <c r="AB30" s="79">
        <f t="shared" si="13"/>
        <v>11520</v>
      </c>
      <c r="AC30" s="79">
        <f t="shared" si="13"/>
        <v>12160</v>
      </c>
      <c r="AD30" s="79">
        <f t="shared" si="13"/>
        <v>0</v>
      </c>
      <c r="AE30" s="79">
        <f t="shared" si="13"/>
        <v>0</v>
      </c>
    </row>
    <row r="31" spans="1:39" s="5" customFormat="1">
      <c r="A31" s="10" t="s">
        <v>165</v>
      </c>
      <c r="B31" s="74" t="s">
        <v>212</v>
      </c>
      <c r="C31" s="112" t="s">
        <v>211</v>
      </c>
      <c r="D31" s="112" t="str">
        <f t="shared" si="7"/>
        <v>TB_BKT_001</v>
      </c>
      <c r="E31" s="73">
        <v>44927</v>
      </c>
      <c r="F31" s="109">
        <v>45227</v>
      </c>
      <c r="G31" s="74">
        <v>85</v>
      </c>
      <c r="H31" s="11">
        <v>14</v>
      </c>
      <c r="I31" s="110">
        <f>$I$24</f>
        <v>20</v>
      </c>
      <c r="J31" s="11">
        <v>20</v>
      </c>
      <c r="K31" s="11">
        <v>20</v>
      </c>
      <c r="L31" s="11">
        <v>20</v>
      </c>
      <c r="M31" s="11">
        <v>21</v>
      </c>
      <c r="N31" s="11">
        <v>20</v>
      </c>
      <c r="O31" s="11">
        <v>22</v>
      </c>
      <c r="P31" s="11">
        <f>$P$24</f>
        <v>19</v>
      </c>
      <c r="Q31" s="97">
        <v>19</v>
      </c>
      <c r="R31" s="11">
        <v>0</v>
      </c>
      <c r="S31" s="11">
        <v>0</v>
      </c>
      <c r="T31" s="79">
        <f t="shared" ref="T31:AE31" si="14">H31*$G$31*8</f>
        <v>9520</v>
      </c>
      <c r="U31" s="79">
        <f t="shared" si="14"/>
        <v>13600</v>
      </c>
      <c r="V31" s="79">
        <f t="shared" si="14"/>
        <v>13600</v>
      </c>
      <c r="W31" s="79">
        <f t="shared" si="14"/>
        <v>13600</v>
      </c>
      <c r="X31" s="79">
        <f t="shared" si="14"/>
        <v>13600</v>
      </c>
      <c r="Y31" s="79">
        <f t="shared" si="14"/>
        <v>14280</v>
      </c>
      <c r="Z31" s="79">
        <f t="shared" si="14"/>
        <v>13600</v>
      </c>
      <c r="AA31" s="79">
        <f t="shared" si="14"/>
        <v>14960</v>
      </c>
      <c r="AB31" s="79">
        <f t="shared" si="14"/>
        <v>12920</v>
      </c>
      <c r="AC31" s="79">
        <f t="shared" si="14"/>
        <v>12920</v>
      </c>
      <c r="AD31" s="79">
        <f t="shared" si="14"/>
        <v>0</v>
      </c>
      <c r="AE31" s="79">
        <f t="shared" si="14"/>
        <v>0</v>
      </c>
    </row>
    <row r="32" spans="1:39" s="5" customFormat="1">
      <c r="A32" s="10" t="s">
        <v>165</v>
      </c>
      <c r="B32" s="74" t="s">
        <v>213</v>
      </c>
      <c r="C32" s="112" t="s">
        <v>211</v>
      </c>
      <c r="D32" s="112" t="str">
        <f t="shared" si="7"/>
        <v>TB_BKT_001</v>
      </c>
      <c r="E32" s="73">
        <v>44927</v>
      </c>
      <c r="F32" s="109">
        <v>45227</v>
      </c>
      <c r="G32" s="74">
        <v>115</v>
      </c>
      <c r="H32" s="11">
        <v>15</v>
      </c>
      <c r="I32" s="110">
        <f>$I$24</f>
        <v>20</v>
      </c>
      <c r="J32" s="11">
        <v>20</v>
      </c>
      <c r="K32" s="11">
        <v>19</v>
      </c>
      <c r="L32" s="11">
        <f>$L$24</f>
        <v>20</v>
      </c>
      <c r="M32" s="11">
        <v>21</v>
      </c>
      <c r="N32" s="11">
        <f>$N$24</f>
        <v>21</v>
      </c>
      <c r="O32" s="11">
        <f>$O$24</f>
        <v>23</v>
      </c>
      <c r="P32" s="11">
        <f>$P$24</f>
        <v>19</v>
      </c>
      <c r="Q32" s="97">
        <v>19</v>
      </c>
      <c r="R32" s="11">
        <v>0</v>
      </c>
      <c r="S32" s="11">
        <v>0</v>
      </c>
      <c r="T32" s="79">
        <f t="shared" ref="T32:AE32" si="15">H32*$G$32*8</f>
        <v>13800</v>
      </c>
      <c r="U32" s="79">
        <f t="shared" si="15"/>
        <v>18400</v>
      </c>
      <c r="V32" s="79">
        <f t="shared" si="15"/>
        <v>18400</v>
      </c>
      <c r="W32" s="79">
        <f t="shared" si="15"/>
        <v>17480</v>
      </c>
      <c r="X32" s="79">
        <f t="shared" si="15"/>
        <v>18400</v>
      </c>
      <c r="Y32" s="79">
        <f t="shared" si="15"/>
        <v>19320</v>
      </c>
      <c r="Z32" s="79">
        <f t="shared" si="15"/>
        <v>19320</v>
      </c>
      <c r="AA32" s="79">
        <f t="shared" si="15"/>
        <v>21160</v>
      </c>
      <c r="AB32" s="79">
        <f t="shared" si="15"/>
        <v>17480</v>
      </c>
      <c r="AC32" s="79">
        <f t="shared" si="15"/>
        <v>17480</v>
      </c>
      <c r="AD32" s="79">
        <f t="shared" si="15"/>
        <v>0</v>
      </c>
      <c r="AE32" s="79">
        <f t="shared" si="15"/>
        <v>0</v>
      </c>
    </row>
    <row r="33" spans="1:31" s="5" customFormat="1">
      <c r="A33" s="10" t="s">
        <v>166</v>
      </c>
      <c r="B33" s="74" t="s">
        <v>214</v>
      </c>
      <c r="C33" s="118" t="s">
        <v>215</v>
      </c>
      <c r="D33" s="118" t="str">
        <f t="shared" si="7"/>
        <v>TB_OMI_001</v>
      </c>
      <c r="E33" s="109">
        <v>44967</v>
      </c>
      <c r="F33" s="109">
        <v>45044</v>
      </c>
      <c r="G33" s="74">
        <v>120</v>
      </c>
      <c r="H33" s="11">
        <v>0</v>
      </c>
      <c r="I33" s="111">
        <f>NETWORKDAYS.INTL(E33,VLOOKUP($I$23,$AH$3:$AJ$14,3),"0000011",$AM$3:$AM$17)</f>
        <v>13</v>
      </c>
      <c r="J33" s="11">
        <f>$J$24</f>
        <v>23</v>
      </c>
      <c r="K33" s="111">
        <f>NETWORKDAYS.INTL(VLOOKUP($K$23,$AH$3:$AJ$14,2),F33,"0000011",$AM$3:$AM$17)</f>
        <v>20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79">
        <f t="shared" ref="T33:AE33" si="16">H33*$G$33*8</f>
        <v>0</v>
      </c>
      <c r="U33" s="79">
        <f t="shared" si="16"/>
        <v>12480</v>
      </c>
      <c r="V33" s="79">
        <f t="shared" si="16"/>
        <v>22080</v>
      </c>
      <c r="W33" s="79">
        <f t="shared" si="16"/>
        <v>19200</v>
      </c>
      <c r="X33" s="79">
        <f t="shared" si="16"/>
        <v>0</v>
      </c>
      <c r="Y33" s="79">
        <f t="shared" si="16"/>
        <v>0</v>
      </c>
      <c r="Z33" s="79">
        <f t="shared" si="16"/>
        <v>0</v>
      </c>
      <c r="AA33" s="79">
        <f t="shared" si="16"/>
        <v>0</v>
      </c>
      <c r="AB33" s="79">
        <f t="shared" si="16"/>
        <v>0</v>
      </c>
      <c r="AC33" s="79">
        <f t="shared" si="16"/>
        <v>0</v>
      </c>
      <c r="AD33" s="79">
        <f t="shared" si="16"/>
        <v>0</v>
      </c>
      <c r="AE33" s="79">
        <f t="shared" si="16"/>
        <v>0</v>
      </c>
    </row>
    <row r="34" spans="1:31" s="5" customFormat="1">
      <c r="A34" s="10" t="s">
        <v>166</v>
      </c>
      <c r="B34" s="74" t="s">
        <v>216</v>
      </c>
      <c r="C34" s="113" t="s">
        <v>215</v>
      </c>
      <c r="D34" s="113" t="str">
        <f t="shared" si="7"/>
        <v>TB_OMI_001</v>
      </c>
      <c r="E34" s="109">
        <v>44967</v>
      </c>
      <c r="F34" s="109">
        <v>45044</v>
      </c>
      <c r="G34" s="74">
        <v>150</v>
      </c>
      <c r="H34" s="11">
        <v>0</v>
      </c>
      <c r="I34" s="111">
        <f>NETWORKDAYS.INTL(E34,VLOOKUP($I$23,$AH$3:$AJ$14,3),"0000011",$AM$3:$AM$17)</f>
        <v>13</v>
      </c>
      <c r="J34" s="11">
        <f>$J$24</f>
        <v>23</v>
      </c>
      <c r="K34" s="111">
        <f>NETWORKDAYS.INTL(VLOOKUP($K$23,$AH$3:$AJ$14,2),F34,"0000011",$AM$3:$AM$17)</f>
        <v>20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79">
        <f t="shared" ref="T34:AE34" si="17">H34*$G$34*8</f>
        <v>0</v>
      </c>
      <c r="U34" s="79">
        <f t="shared" si="17"/>
        <v>15600</v>
      </c>
      <c r="V34" s="79">
        <f t="shared" si="17"/>
        <v>27600</v>
      </c>
      <c r="W34" s="79">
        <f t="shared" si="17"/>
        <v>24000</v>
      </c>
      <c r="X34" s="79">
        <f t="shared" si="17"/>
        <v>0</v>
      </c>
      <c r="Y34" s="79">
        <f t="shared" si="17"/>
        <v>0</v>
      </c>
      <c r="Z34" s="79">
        <f t="shared" si="17"/>
        <v>0</v>
      </c>
      <c r="AA34" s="79">
        <f t="shared" si="17"/>
        <v>0</v>
      </c>
      <c r="AB34" s="79">
        <f t="shared" si="17"/>
        <v>0</v>
      </c>
      <c r="AC34" s="79">
        <f t="shared" si="17"/>
        <v>0</v>
      </c>
      <c r="AD34" s="79">
        <f t="shared" si="17"/>
        <v>0</v>
      </c>
      <c r="AE34" s="79">
        <f t="shared" si="17"/>
        <v>0</v>
      </c>
    </row>
    <row r="35" spans="1:31">
      <c r="T35" s="95"/>
    </row>
    <row r="36" spans="1:31" ht="31.5" customHeight="1"/>
    <row r="37" spans="1:31">
      <c r="C37" t="s">
        <v>217</v>
      </c>
    </row>
    <row r="38" spans="1:31">
      <c r="C38" s="116" t="s">
        <v>218</v>
      </c>
    </row>
    <row r="40" spans="1:31">
      <c r="C40" t="s">
        <v>219</v>
      </c>
    </row>
    <row r="42" spans="1:31">
      <c r="C42" t="s">
        <v>220</v>
      </c>
    </row>
    <row r="45" spans="1:31">
      <c r="B45" t="s">
        <v>221</v>
      </c>
    </row>
    <row r="46" spans="1:31">
      <c r="B46" t="s">
        <v>222</v>
      </c>
    </row>
  </sheetData>
  <mergeCells count="48">
    <mergeCell ref="AD22:AD23"/>
    <mergeCell ref="AE22:AE23"/>
    <mergeCell ref="X22:X23"/>
    <mergeCell ref="Y22:Y23"/>
    <mergeCell ref="Z22:Z23"/>
    <mergeCell ref="AA22:AA23"/>
    <mergeCell ref="AB22:AB23"/>
    <mergeCell ref="AC22:AC23"/>
    <mergeCell ref="W22:W23"/>
    <mergeCell ref="A22:A23"/>
    <mergeCell ref="B22:B23"/>
    <mergeCell ref="C22:C23"/>
    <mergeCell ref="D22:D23"/>
    <mergeCell ref="E22:E23"/>
    <mergeCell ref="F22:F23"/>
    <mergeCell ref="G22:G23"/>
    <mergeCell ref="H22:S22"/>
    <mergeCell ref="T22:T23"/>
    <mergeCell ref="U22:U23"/>
    <mergeCell ref="V22:V23"/>
    <mergeCell ref="AC12:AC13"/>
    <mergeCell ref="AD12:AD13"/>
    <mergeCell ref="AE12:AE13"/>
    <mergeCell ref="A19:F19"/>
    <mergeCell ref="T19:Y19"/>
    <mergeCell ref="D12:D13"/>
    <mergeCell ref="E12:E13"/>
    <mergeCell ref="U12:U13"/>
    <mergeCell ref="V12:V13"/>
    <mergeCell ref="A12:A13"/>
    <mergeCell ref="B12:B13"/>
    <mergeCell ref="C12:C13"/>
    <mergeCell ref="B21:AE21"/>
    <mergeCell ref="B11:AE11"/>
    <mergeCell ref="A1:AE1"/>
    <mergeCell ref="A3:N3"/>
    <mergeCell ref="A9:F9"/>
    <mergeCell ref="T9:Y9"/>
    <mergeCell ref="W12:W13"/>
    <mergeCell ref="X12:X13"/>
    <mergeCell ref="Y12:Y13"/>
    <mergeCell ref="Z12:Z13"/>
    <mergeCell ref="AA12:AA13"/>
    <mergeCell ref="AB12:AB13"/>
    <mergeCell ref="F12:F13"/>
    <mergeCell ref="G12:R12"/>
    <mergeCell ref="S12:S13"/>
    <mergeCell ref="T12:T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6951-1C95-42A7-8A89-C1B0E5C5C8FA}">
  <dimension ref="A1:AM56"/>
  <sheetViews>
    <sheetView topLeftCell="A38" zoomScaleNormal="100" workbookViewId="0">
      <selection activeCell="A38" sqref="A38:D38"/>
    </sheetView>
  </sheetViews>
  <sheetFormatPr defaultRowHeight="14.6"/>
  <cols>
    <col min="1" max="1" width="29.3828125" customWidth="1"/>
    <col min="2" max="2" width="27.69140625" customWidth="1"/>
    <col min="3" max="3" width="29" customWidth="1"/>
    <col min="4" max="4" width="24.69140625" bestFit="1" customWidth="1"/>
    <col min="5" max="5" width="21.53515625" customWidth="1"/>
    <col min="6" max="6" width="19.3828125" customWidth="1"/>
    <col min="7" max="13" width="13" bestFit="1" customWidth="1"/>
    <col min="14" max="14" width="14.69140625" bestFit="1" customWidth="1"/>
    <col min="15" max="15" width="7.69140625" customWidth="1"/>
    <col min="16" max="16" width="9.53515625" bestFit="1" customWidth="1"/>
    <col min="17" max="18" width="7.69140625" customWidth="1"/>
    <col min="19" max="19" width="15.3046875" customWidth="1"/>
    <col min="20" max="20" width="11.53515625" customWidth="1"/>
    <col min="21" max="26" width="13" bestFit="1" customWidth="1"/>
    <col min="27" max="27" width="13.84375" bestFit="1" customWidth="1"/>
    <col min="28" max="31" width="13" bestFit="1" customWidth="1"/>
    <col min="32" max="32" width="13" customWidth="1"/>
    <col min="34" max="34" width="10.3046875" customWidth="1"/>
    <col min="35" max="36" width="11.3828125" bestFit="1" customWidth="1"/>
    <col min="38" max="38" width="47.69140625" customWidth="1"/>
    <col min="39" max="39" width="15" customWidth="1"/>
  </cols>
  <sheetData>
    <row r="1" spans="1:39" s="52" customFormat="1" ht="30.75" customHeight="1">
      <c r="A1" s="253" t="s">
        <v>223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</row>
    <row r="3" spans="1:39" ht="15">
      <c r="A3" s="276" t="s">
        <v>148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H3" s="20">
        <v>1</v>
      </c>
      <c r="AI3" s="60">
        <v>44927</v>
      </c>
      <c r="AJ3" s="60">
        <v>44957</v>
      </c>
      <c r="AL3" s="85" t="s">
        <v>149</v>
      </c>
      <c r="AM3" s="86">
        <v>44928</v>
      </c>
    </row>
    <row r="4" spans="1:39" ht="15">
      <c r="A4" s="20" t="s">
        <v>46</v>
      </c>
      <c r="B4" s="20" t="s">
        <v>150</v>
      </c>
      <c r="C4" s="20" t="s">
        <v>151</v>
      </c>
      <c r="D4" s="20" t="s">
        <v>152</v>
      </c>
      <c r="E4" s="20" t="s">
        <v>153</v>
      </c>
      <c r="F4" s="20" t="s">
        <v>154</v>
      </c>
      <c r="G4" s="20" t="s">
        <v>155</v>
      </c>
      <c r="H4" s="20" t="s">
        <v>156</v>
      </c>
      <c r="I4" s="20" t="s">
        <v>157</v>
      </c>
      <c r="J4" s="20" t="s">
        <v>158</v>
      </c>
      <c r="K4" s="20" t="s">
        <v>159</v>
      </c>
      <c r="L4" s="20" t="s">
        <v>160</v>
      </c>
      <c r="M4" s="20" t="s">
        <v>161</v>
      </c>
      <c r="N4" s="59" t="s">
        <v>162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H4" s="20">
        <v>2</v>
      </c>
      <c r="AI4" s="60">
        <v>44958</v>
      </c>
      <c r="AJ4" s="60">
        <v>44985</v>
      </c>
      <c r="AL4" s="90" t="s">
        <v>163</v>
      </c>
      <c r="AM4" s="86">
        <v>44946</v>
      </c>
    </row>
    <row r="5" spans="1:39" ht="15" customHeight="1">
      <c r="A5" s="10" t="s">
        <v>164</v>
      </c>
      <c r="B5" s="41">
        <f t="shared" ref="B5:M5" si="0">SUMIFS(T14:T17,$A$14:$A$17,$A$5)+SUMIFS(T25:T34,$A$25:$A$34,$A$5)</f>
        <v>0</v>
      </c>
      <c r="C5" s="41">
        <f t="shared" si="0"/>
        <v>300055200</v>
      </c>
      <c r="D5" s="41">
        <f t="shared" si="0"/>
        <v>100060600.00000003</v>
      </c>
      <c r="E5" s="41">
        <f t="shared" si="0"/>
        <v>300050399.99999994</v>
      </c>
      <c r="F5" s="41">
        <f t="shared" si="0"/>
        <v>150050400.00000003</v>
      </c>
      <c r="G5" s="41">
        <f t="shared" si="0"/>
        <v>580055440</v>
      </c>
      <c r="H5" s="41">
        <f t="shared" si="0"/>
        <v>365052919.99999994</v>
      </c>
      <c r="I5" s="41">
        <f t="shared" si="0"/>
        <v>397557960.00000006</v>
      </c>
      <c r="J5" s="41">
        <f t="shared" si="0"/>
        <v>265037799.99999994</v>
      </c>
      <c r="K5" s="41">
        <f t="shared" si="0"/>
        <v>264999999.99999994</v>
      </c>
      <c r="L5" s="41">
        <f t="shared" si="0"/>
        <v>264999999.99999994</v>
      </c>
      <c r="M5" s="47">
        <f t="shared" si="0"/>
        <v>132500000.00000012</v>
      </c>
      <c r="N5" s="49">
        <f>SUM(B5:M5)</f>
        <v>3120420720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H5" s="20">
        <v>3</v>
      </c>
      <c r="AI5" s="60">
        <v>44986</v>
      </c>
      <c r="AJ5" s="60">
        <v>45016</v>
      </c>
      <c r="AL5" s="91"/>
      <c r="AM5" s="86">
        <v>44947</v>
      </c>
    </row>
    <row r="6" spans="1:39" ht="15">
      <c r="A6" s="10" t="s">
        <v>165</v>
      </c>
      <c r="B6" s="41">
        <f t="shared" ref="B6:M6" si="1">SUMIFS(T14:T17,$A$14:$A$17,$A$6)+SUMIFS(T25:T34,$A$25:$A$34,$A$6)</f>
        <v>42535840</v>
      </c>
      <c r="C6" s="41">
        <f t="shared" si="1"/>
        <v>42544800</v>
      </c>
      <c r="D6" s="41">
        <f t="shared" si="1"/>
        <v>85051520</v>
      </c>
      <c r="E6" s="41">
        <f t="shared" si="1"/>
        <v>85044799.999999985</v>
      </c>
      <c r="F6" s="41">
        <f t="shared" si="1"/>
        <v>42544799.999999993</v>
      </c>
      <c r="G6" s="41">
        <f t="shared" si="1"/>
        <v>85049280.00000003</v>
      </c>
      <c r="H6" s="41">
        <f t="shared" si="1"/>
        <v>85047040.00000003</v>
      </c>
      <c r="I6" s="41">
        <f t="shared" si="1"/>
        <v>85051519.999999985</v>
      </c>
      <c r="J6" s="41">
        <f t="shared" si="1"/>
        <v>85042559.999999985</v>
      </c>
      <c r="K6" s="41">
        <f t="shared" si="1"/>
        <v>85044799.999999985</v>
      </c>
      <c r="L6" s="41">
        <f t="shared" si="1"/>
        <v>84999999.999999985</v>
      </c>
      <c r="M6" s="47">
        <f t="shared" si="1"/>
        <v>42500000.000000037</v>
      </c>
      <c r="N6" s="49">
        <f t="shared" ref="N6:N7" si="2">SUM(B6:M6)</f>
        <v>850456960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H6" s="20">
        <v>4</v>
      </c>
      <c r="AI6" s="60">
        <v>45017</v>
      </c>
      <c r="AJ6" s="60">
        <v>45046</v>
      </c>
      <c r="AL6" s="91"/>
      <c r="AM6" s="86">
        <v>44948</v>
      </c>
    </row>
    <row r="7" spans="1:39" ht="15">
      <c r="A7" s="10" t="s">
        <v>166</v>
      </c>
      <c r="B7" s="41">
        <f t="shared" ref="B7:M7" si="3">SUMIFS(T14:T17,$A$14:$A$17,$A$7)+SUMIFS(T25:T34,$A$25:$A$34,$A$7)</f>
        <v>0</v>
      </c>
      <c r="C7" s="41">
        <f t="shared" si="3"/>
        <v>183028080</v>
      </c>
      <c r="D7" s="41">
        <f t="shared" si="3"/>
        <v>183049680</v>
      </c>
      <c r="E7" s="41">
        <f t="shared" si="3"/>
        <v>152543200</v>
      </c>
      <c r="F7" s="41">
        <f t="shared" si="3"/>
        <v>91500000.000000015</v>
      </c>
      <c r="G7" s="41">
        <f t="shared" si="3"/>
        <v>0</v>
      </c>
      <c r="H7" s="41">
        <f t="shared" si="3"/>
        <v>0</v>
      </c>
      <c r="I7" s="41">
        <f t="shared" si="3"/>
        <v>0</v>
      </c>
      <c r="J7" s="41">
        <f t="shared" si="3"/>
        <v>0</v>
      </c>
      <c r="K7" s="41">
        <f t="shared" si="3"/>
        <v>0</v>
      </c>
      <c r="L7" s="41">
        <f t="shared" si="3"/>
        <v>0</v>
      </c>
      <c r="M7" s="47">
        <f t="shared" si="3"/>
        <v>0</v>
      </c>
      <c r="N7" s="49">
        <f t="shared" si="2"/>
        <v>610120960</v>
      </c>
      <c r="O7" s="1"/>
      <c r="P7" s="1"/>
      <c r="Q7" s="1"/>
      <c r="R7" s="1"/>
      <c r="S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H7" s="20">
        <v>5</v>
      </c>
      <c r="AI7" s="60">
        <v>45047</v>
      </c>
      <c r="AJ7" s="60">
        <v>45077</v>
      </c>
      <c r="AL7" s="91"/>
      <c r="AM7" s="86">
        <v>44949</v>
      </c>
    </row>
    <row r="8" spans="1:39" ht="15">
      <c r="A8" s="1"/>
      <c r="B8" s="1"/>
      <c r="C8" s="1"/>
      <c r="D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U8" s="1"/>
      <c r="V8" s="1"/>
      <c r="W8" s="1"/>
      <c r="X8" s="1"/>
      <c r="Y8" s="1"/>
      <c r="Z8" s="1"/>
      <c r="AA8" s="1"/>
      <c r="AB8" s="1"/>
      <c r="AD8" s="1"/>
      <c r="AE8" s="1"/>
      <c r="AF8" s="1"/>
      <c r="AH8" s="20">
        <v>6</v>
      </c>
      <c r="AI8" s="60">
        <v>45078</v>
      </c>
      <c r="AJ8" s="60">
        <v>45107</v>
      </c>
      <c r="AL8" s="91"/>
      <c r="AM8" s="86">
        <v>44950</v>
      </c>
    </row>
    <row r="9" spans="1:39" s="7" customFormat="1" ht="20.25" customHeight="1">
      <c r="A9" s="257" t="s">
        <v>224</v>
      </c>
      <c r="B9" s="257"/>
      <c r="C9" s="257"/>
      <c r="D9" s="257"/>
      <c r="E9" s="257"/>
      <c r="F9" s="257"/>
      <c r="J9" s="6"/>
      <c r="Q9" s="6"/>
      <c r="R9" s="6"/>
      <c r="S9" s="6"/>
      <c r="T9" s="258"/>
      <c r="U9" s="259"/>
      <c r="V9" s="259"/>
      <c r="W9" s="259"/>
      <c r="X9" s="259"/>
      <c r="Y9" s="259"/>
      <c r="Z9" s="6"/>
      <c r="AA9" s="6"/>
      <c r="AC9" s="6"/>
      <c r="AD9" s="6"/>
      <c r="AE9" s="6"/>
      <c r="AF9" s="6"/>
      <c r="AH9" s="20">
        <v>7</v>
      </c>
      <c r="AI9" s="60">
        <v>45108</v>
      </c>
      <c r="AJ9" s="60">
        <v>45138</v>
      </c>
      <c r="AL9" s="91"/>
      <c r="AM9" s="86">
        <v>44951</v>
      </c>
    </row>
    <row r="10" spans="1:39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4"/>
      <c r="Y10" s="1"/>
      <c r="Z10" s="1"/>
      <c r="AA10" s="1"/>
      <c r="AB10" s="1"/>
      <c r="AD10" s="1"/>
      <c r="AE10" s="1"/>
      <c r="AF10" s="1"/>
      <c r="AH10" s="20">
        <v>8</v>
      </c>
      <c r="AI10" s="60">
        <v>45139</v>
      </c>
      <c r="AJ10" s="60">
        <v>45169</v>
      </c>
      <c r="AL10" s="92"/>
      <c r="AM10" s="86">
        <v>44952</v>
      </c>
    </row>
    <row r="11" spans="1:39" s="5" customFormat="1" ht="18.45">
      <c r="A11" s="119" t="s">
        <v>168</v>
      </c>
      <c r="B11" s="250" t="s">
        <v>169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2"/>
      <c r="AF11" s="76"/>
      <c r="AH11" s="20">
        <v>9</v>
      </c>
      <c r="AI11" s="60">
        <v>45170</v>
      </c>
      <c r="AJ11" s="60">
        <v>45199</v>
      </c>
      <c r="AL11" s="87" t="s">
        <v>170</v>
      </c>
      <c r="AM11" s="88">
        <v>45048</v>
      </c>
    </row>
    <row r="12" spans="1:39" s="5" customFormat="1" ht="15">
      <c r="A12" s="280" t="s">
        <v>171</v>
      </c>
      <c r="B12" s="280" t="s">
        <v>172</v>
      </c>
      <c r="C12" s="280" t="s">
        <v>173</v>
      </c>
      <c r="D12" s="280" t="s">
        <v>174</v>
      </c>
      <c r="E12" s="280" t="s">
        <v>175</v>
      </c>
      <c r="F12" s="280" t="s">
        <v>176</v>
      </c>
      <c r="G12" s="279" t="s">
        <v>177</v>
      </c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79"/>
      <c r="S12" s="281" t="s">
        <v>178</v>
      </c>
      <c r="T12" s="278" t="s">
        <v>179</v>
      </c>
      <c r="U12" s="278" t="s">
        <v>180</v>
      </c>
      <c r="V12" s="278" t="s">
        <v>181</v>
      </c>
      <c r="W12" s="278" t="s">
        <v>182</v>
      </c>
      <c r="X12" s="278" t="s">
        <v>183</v>
      </c>
      <c r="Y12" s="278" t="s">
        <v>184</v>
      </c>
      <c r="Z12" s="278" t="s">
        <v>185</v>
      </c>
      <c r="AA12" s="278" t="s">
        <v>186</v>
      </c>
      <c r="AB12" s="278" t="s">
        <v>187</v>
      </c>
      <c r="AC12" s="278" t="s">
        <v>188</v>
      </c>
      <c r="AD12" s="278" t="s">
        <v>189</v>
      </c>
      <c r="AE12" s="278" t="s">
        <v>190</v>
      </c>
      <c r="AF12" s="76"/>
      <c r="AH12" s="20">
        <v>10</v>
      </c>
      <c r="AI12" s="60">
        <v>45200</v>
      </c>
      <c r="AJ12" s="60">
        <v>45230</v>
      </c>
      <c r="AL12" s="87" t="s">
        <v>191</v>
      </c>
      <c r="AM12" s="86">
        <v>45049</v>
      </c>
    </row>
    <row r="13" spans="1:39" s="5" customFormat="1" ht="15">
      <c r="A13" s="274"/>
      <c r="B13" s="274"/>
      <c r="C13" s="274"/>
      <c r="D13" s="274"/>
      <c r="E13" s="274"/>
      <c r="F13" s="274"/>
      <c r="G13" s="20" t="s">
        <v>150</v>
      </c>
      <c r="H13" s="20" t="s">
        <v>151</v>
      </c>
      <c r="I13" s="20" t="s">
        <v>152</v>
      </c>
      <c r="J13" s="20" t="s">
        <v>153</v>
      </c>
      <c r="K13" s="20" t="s">
        <v>154</v>
      </c>
      <c r="L13" s="20" t="s">
        <v>155</v>
      </c>
      <c r="M13" s="20" t="s">
        <v>156</v>
      </c>
      <c r="N13" s="20" t="s">
        <v>157</v>
      </c>
      <c r="O13" s="20" t="s">
        <v>158</v>
      </c>
      <c r="P13" s="20" t="s">
        <v>159</v>
      </c>
      <c r="Q13" s="20" t="s">
        <v>160</v>
      </c>
      <c r="R13" s="20" t="s">
        <v>161</v>
      </c>
      <c r="S13" s="282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76"/>
      <c r="AH13" s="20">
        <v>11</v>
      </c>
      <c r="AI13" s="60">
        <v>45231</v>
      </c>
      <c r="AJ13" s="60">
        <v>45260</v>
      </c>
      <c r="AL13" s="85" t="s">
        <v>192</v>
      </c>
      <c r="AM13" s="89">
        <v>45047</v>
      </c>
    </row>
    <row r="14" spans="1:39" s="5" customFormat="1" ht="15">
      <c r="A14" s="10" t="s">
        <v>164</v>
      </c>
      <c r="B14" s="8">
        <v>5</v>
      </c>
      <c r="C14" s="8" t="s">
        <v>193</v>
      </c>
      <c r="D14" s="108" t="str">
        <f>$A$11&amp;"_"&amp;C14&amp;"_"&amp;"001"</f>
        <v>FC_AN1_001</v>
      </c>
      <c r="E14" s="9">
        <v>44958</v>
      </c>
      <c r="F14" s="9">
        <v>45130</v>
      </c>
      <c r="G14" s="8">
        <v>0</v>
      </c>
      <c r="H14" s="38">
        <v>0.3</v>
      </c>
      <c r="I14" s="38">
        <v>0.4</v>
      </c>
      <c r="J14" s="38">
        <v>0.7</v>
      </c>
      <c r="K14" s="38">
        <v>0.85</v>
      </c>
      <c r="L14" s="38">
        <v>0.9</v>
      </c>
      <c r="M14" s="38">
        <v>1</v>
      </c>
      <c r="N14" s="11" t="s">
        <v>194</v>
      </c>
      <c r="O14" s="11" t="s">
        <v>194</v>
      </c>
      <c r="P14" s="11" t="s">
        <v>194</v>
      </c>
      <c r="Q14" s="11" t="s">
        <v>194</v>
      </c>
      <c r="R14" s="11" t="s">
        <v>194</v>
      </c>
      <c r="S14" s="37">
        <v>1000000000</v>
      </c>
      <c r="T14" s="15">
        <v>0</v>
      </c>
      <c r="U14" s="15">
        <f>(H14-G14)*$S$14</f>
        <v>300000000</v>
      </c>
      <c r="V14" s="15">
        <f t="shared" ref="V14:Z14" si="4">(I14-H14)*$S$14</f>
        <v>100000000.00000003</v>
      </c>
      <c r="W14" s="15">
        <f t="shared" si="4"/>
        <v>299999999.99999994</v>
      </c>
      <c r="X14" s="15">
        <f t="shared" si="4"/>
        <v>150000000.00000003</v>
      </c>
      <c r="Y14" s="15">
        <f t="shared" si="4"/>
        <v>50000000.000000045</v>
      </c>
      <c r="Z14" s="15">
        <f t="shared" si="4"/>
        <v>99999999.999999985</v>
      </c>
      <c r="AA14" s="15"/>
      <c r="AB14" s="15"/>
      <c r="AC14" s="15"/>
      <c r="AD14" s="15"/>
      <c r="AE14" s="15"/>
      <c r="AF14" s="77"/>
      <c r="AH14" s="20">
        <v>12</v>
      </c>
      <c r="AI14" s="60">
        <v>45261</v>
      </c>
      <c r="AJ14" s="60">
        <v>45291</v>
      </c>
      <c r="AL14" s="93" t="s">
        <v>195</v>
      </c>
      <c r="AM14" s="86">
        <v>45170</v>
      </c>
    </row>
    <row r="15" spans="1:39" s="5" customFormat="1" ht="15">
      <c r="A15" s="10" t="s">
        <v>164</v>
      </c>
      <c r="B15" s="10">
        <v>11</v>
      </c>
      <c r="C15" s="10" t="s">
        <v>193</v>
      </c>
      <c r="D15" s="108" t="str">
        <f>$A$11&amp;"_"&amp;C15&amp;"_"&amp;"001"</f>
        <v>FC_AN1_001</v>
      </c>
      <c r="E15" s="14">
        <v>45050</v>
      </c>
      <c r="F15" s="14">
        <v>45283</v>
      </c>
      <c r="G15" s="8">
        <v>0</v>
      </c>
      <c r="H15" s="11" t="s">
        <v>194</v>
      </c>
      <c r="I15" s="11" t="s">
        <v>194</v>
      </c>
      <c r="J15" s="11" t="s">
        <v>194</v>
      </c>
      <c r="K15" s="38">
        <v>0.2</v>
      </c>
      <c r="L15" s="38">
        <v>0.4</v>
      </c>
      <c r="M15" s="38">
        <v>0.5</v>
      </c>
      <c r="N15" s="38">
        <v>0.65</v>
      </c>
      <c r="O15" s="38">
        <v>0.75</v>
      </c>
      <c r="P15" s="38">
        <v>0.85</v>
      </c>
      <c r="Q15" s="38">
        <v>0.95</v>
      </c>
      <c r="R15" s="38">
        <v>1</v>
      </c>
      <c r="S15" s="37">
        <v>2650000000</v>
      </c>
      <c r="T15" s="15">
        <v>0</v>
      </c>
      <c r="U15" s="15"/>
      <c r="V15" s="15"/>
      <c r="W15" s="15"/>
      <c r="X15" s="15"/>
      <c r="Y15" s="15">
        <f t="shared" ref="Y15:AE15" si="5">(L15-K15)*$S$15</f>
        <v>530000000</v>
      </c>
      <c r="Z15" s="15">
        <f t="shared" si="5"/>
        <v>264999999.99999994</v>
      </c>
      <c r="AA15" s="15">
        <f t="shared" si="5"/>
        <v>397500000.00000006</v>
      </c>
      <c r="AB15" s="15">
        <f t="shared" si="5"/>
        <v>264999999.99999994</v>
      </c>
      <c r="AC15" s="15">
        <f t="shared" si="5"/>
        <v>264999999.99999994</v>
      </c>
      <c r="AD15" s="15">
        <f t="shared" si="5"/>
        <v>264999999.99999994</v>
      </c>
      <c r="AE15" s="15">
        <f t="shared" si="5"/>
        <v>132500000.00000012</v>
      </c>
      <c r="AF15" s="77"/>
      <c r="AL15" s="93"/>
      <c r="AM15" s="86">
        <v>45171</v>
      </c>
    </row>
    <row r="16" spans="1:39" s="5" customFormat="1" ht="15" customHeight="1">
      <c r="A16" s="8" t="s">
        <v>165</v>
      </c>
      <c r="B16" s="8">
        <v>7</v>
      </c>
      <c r="C16" s="8" t="s">
        <v>196</v>
      </c>
      <c r="D16" s="108" t="str">
        <f>$A$11&amp;"_"&amp;C16&amp;"_"&amp;"001"</f>
        <v>FC_AN2_001</v>
      </c>
      <c r="E16" s="9">
        <v>44927</v>
      </c>
      <c r="F16" s="9">
        <v>45350</v>
      </c>
      <c r="G16" s="38">
        <v>0.05</v>
      </c>
      <c r="H16" s="38">
        <v>0.1</v>
      </c>
      <c r="I16" s="38">
        <v>0.2</v>
      </c>
      <c r="J16" s="38">
        <v>0.3</v>
      </c>
      <c r="K16" s="38">
        <v>0.35</v>
      </c>
      <c r="L16" s="38">
        <v>0.45</v>
      </c>
      <c r="M16" s="38">
        <v>0.55000000000000004</v>
      </c>
      <c r="N16" s="38">
        <v>0.65</v>
      </c>
      <c r="O16" s="38">
        <v>0.75</v>
      </c>
      <c r="P16" s="38">
        <v>0.85</v>
      </c>
      <c r="Q16" s="38">
        <v>0.95</v>
      </c>
      <c r="R16" s="38">
        <v>1</v>
      </c>
      <c r="S16" s="37">
        <v>850000000</v>
      </c>
      <c r="T16" s="15">
        <f>G16*$S$16</f>
        <v>42500000</v>
      </c>
      <c r="U16" s="15">
        <f>(H16-G16)*$S$16</f>
        <v>42500000</v>
      </c>
      <c r="V16" s="15">
        <f t="shared" ref="V16:AE16" si="6">(I16-H16)*$S$16</f>
        <v>85000000</v>
      </c>
      <c r="W16" s="15">
        <f t="shared" si="6"/>
        <v>84999999.999999985</v>
      </c>
      <c r="X16" s="15">
        <f t="shared" si="6"/>
        <v>42499999.999999993</v>
      </c>
      <c r="Y16" s="15">
        <f t="shared" si="6"/>
        <v>85000000.00000003</v>
      </c>
      <c r="Z16" s="15">
        <f t="shared" si="6"/>
        <v>85000000.00000003</v>
      </c>
      <c r="AA16" s="15">
        <f t="shared" si="6"/>
        <v>84999999.999999985</v>
      </c>
      <c r="AB16" s="15">
        <f t="shared" si="6"/>
        <v>84999999.999999985</v>
      </c>
      <c r="AC16" s="15">
        <f t="shared" si="6"/>
        <v>84999999.999999985</v>
      </c>
      <c r="AD16" s="15">
        <f t="shared" si="6"/>
        <v>84999999.999999985</v>
      </c>
      <c r="AE16" s="15">
        <f t="shared" si="6"/>
        <v>42500000.000000037</v>
      </c>
      <c r="AF16" s="77"/>
      <c r="AL16" s="93"/>
      <c r="AM16" s="86">
        <v>45172</v>
      </c>
    </row>
    <row r="17" spans="1:39" s="5" customFormat="1" ht="15">
      <c r="A17" s="8" t="s">
        <v>166</v>
      </c>
      <c r="B17" s="8">
        <v>4</v>
      </c>
      <c r="C17" s="8" t="s">
        <v>197</v>
      </c>
      <c r="D17" s="108" t="str">
        <f>$A$11&amp;"_"&amp;C17&amp;"_"&amp;"001"</f>
        <v>FC_AN3_001</v>
      </c>
      <c r="E17" s="9">
        <v>44970</v>
      </c>
      <c r="F17" s="9">
        <v>45074</v>
      </c>
      <c r="G17" s="8">
        <v>0</v>
      </c>
      <c r="H17" s="38">
        <v>0.3</v>
      </c>
      <c r="I17" s="38">
        <v>0.6</v>
      </c>
      <c r="J17" s="38">
        <v>0.85</v>
      </c>
      <c r="K17" s="3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37">
        <v>610000000</v>
      </c>
      <c r="T17" s="15">
        <v>0</v>
      </c>
      <c r="U17" s="15">
        <f>(H17-G17)*$S$17</f>
        <v>183000000</v>
      </c>
      <c r="V17" s="15">
        <f t="shared" ref="V17:X17" si="7">(I17-H17)*$S$17</f>
        <v>183000000</v>
      </c>
      <c r="W17" s="15">
        <f t="shared" si="7"/>
        <v>152500000</v>
      </c>
      <c r="X17" s="15">
        <f t="shared" si="7"/>
        <v>91500000.000000015</v>
      </c>
      <c r="Y17" s="15"/>
      <c r="Z17" s="15"/>
      <c r="AA17" s="15"/>
      <c r="AB17" s="15"/>
      <c r="AC17" s="15"/>
      <c r="AD17" s="15"/>
      <c r="AE17" s="15"/>
      <c r="AF17" s="77"/>
      <c r="AL17" s="93"/>
      <c r="AM17" s="86">
        <v>45173</v>
      </c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C18" s="1"/>
      <c r="AD18" s="1"/>
      <c r="AE18" s="1"/>
      <c r="AF18" s="1"/>
    </row>
    <row r="19" spans="1:39" s="7" customFormat="1" ht="20.25" customHeight="1">
      <c r="A19" s="266" t="s">
        <v>225</v>
      </c>
      <c r="B19" s="266"/>
      <c r="C19" s="266"/>
      <c r="D19" s="266"/>
      <c r="E19" s="266"/>
      <c r="F19" s="266"/>
      <c r="J19" s="6"/>
      <c r="Q19" s="6"/>
      <c r="R19" s="6"/>
      <c r="S19" s="6"/>
      <c r="T19" s="258"/>
      <c r="U19" s="259"/>
      <c r="V19" s="259"/>
      <c r="W19" s="259"/>
      <c r="X19" s="259"/>
      <c r="Y19" s="259"/>
      <c r="Z19" s="6"/>
      <c r="AA19" s="6"/>
      <c r="AC19" s="6"/>
      <c r="AD19" s="6"/>
      <c r="AE19" s="6"/>
      <c r="AF19" s="6"/>
    </row>
    <row r="20" spans="1:39">
      <c r="A20" s="34"/>
      <c r="B20" s="34"/>
      <c r="C20" s="34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C20" s="1"/>
      <c r="AD20" s="1"/>
      <c r="AE20" s="1"/>
      <c r="AF20" s="1"/>
    </row>
    <row r="21" spans="1:39" s="5" customFormat="1" ht="18.45">
      <c r="A21" s="122" t="s">
        <v>199</v>
      </c>
      <c r="B21" s="247" t="s">
        <v>200</v>
      </c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9"/>
    </row>
    <row r="22" spans="1:39" s="7" customFormat="1" ht="33" customHeight="1">
      <c r="A22" s="273" t="s">
        <v>171</v>
      </c>
      <c r="B22" s="230" t="s">
        <v>201</v>
      </c>
      <c r="C22" s="230" t="s">
        <v>173</v>
      </c>
      <c r="D22" s="273" t="s">
        <v>174</v>
      </c>
      <c r="E22" s="273" t="s">
        <v>175</v>
      </c>
      <c r="F22" s="273" t="s">
        <v>176</v>
      </c>
      <c r="G22" s="275" t="s">
        <v>202</v>
      </c>
      <c r="H22" s="283" t="s">
        <v>203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65" t="s">
        <v>179</v>
      </c>
      <c r="U22" s="265" t="s">
        <v>180</v>
      </c>
      <c r="V22" s="265" t="s">
        <v>181</v>
      </c>
      <c r="W22" s="265" t="s">
        <v>182</v>
      </c>
      <c r="X22" s="265" t="s">
        <v>183</v>
      </c>
      <c r="Y22" s="265" t="s">
        <v>184</v>
      </c>
      <c r="Z22" s="265" t="s">
        <v>185</v>
      </c>
      <c r="AA22" s="265" t="s">
        <v>186</v>
      </c>
      <c r="AB22" s="265" t="s">
        <v>187</v>
      </c>
      <c r="AC22" s="265" t="s">
        <v>188</v>
      </c>
      <c r="AD22" s="265" t="s">
        <v>189</v>
      </c>
      <c r="AE22" s="265" t="s">
        <v>190</v>
      </c>
    </row>
    <row r="23" spans="1:39" s="7" customFormat="1" ht="19.5" customHeight="1">
      <c r="A23" s="274"/>
      <c r="B23" s="231"/>
      <c r="C23" s="231"/>
      <c r="D23" s="274"/>
      <c r="E23" s="274"/>
      <c r="F23" s="274"/>
      <c r="G23" s="265"/>
      <c r="H23" s="20">
        <v>1</v>
      </c>
      <c r="I23" s="20">
        <v>2</v>
      </c>
      <c r="J23" s="20">
        <v>3</v>
      </c>
      <c r="K23" s="20">
        <v>4</v>
      </c>
      <c r="L23" s="20">
        <v>5</v>
      </c>
      <c r="M23" s="20">
        <v>6</v>
      </c>
      <c r="N23" s="20">
        <v>7</v>
      </c>
      <c r="O23" s="20">
        <v>8</v>
      </c>
      <c r="P23" s="20">
        <v>9</v>
      </c>
      <c r="Q23" s="20">
        <v>10</v>
      </c>
      <c r="R23" s="20">
        <v>11</v>
      </c>
      <c r="S23" s="20">
        <v>12</v>
      </c>
      <c r="T23" s="267"/>
      <c r="U23" s="267"/>
      <c r="V23" s="267"/>
      <c r="W23" s="267"/>
      <c r="X23" s="267"/>
      <c r="Y23" s="267"/>
      <c r="Z23" s="267"/>
      <c r="AA23" s="267"/>
      <c r="AB23" s="267"/>
      <c r="AC23" s="267"/>
      <c r="AD23" s="267"/>
      <c r="AE23" s="267"/>
    </row>
    <row r="24" spans="1:39" s="7" customFormat="1" ht="19.5" customHeight="1">
      <c r="A24" s="81"/>
      <c r="B24" s="82"/>
      <c r="C24" s="82"/>
      <c r="D24" s="81"/>
      <c r="E24" s="81"/>
      <c r="F24" s="81"/>
      <c r="G24" s="83"/>
      <c r="H24" s="32">
        <f t="shared" ref="H24:S24" si="8">NETWORKDAYS.INTL(VLOOKUP(H23,$AH$3:$AJ$14,2),VLOOKUP(H23,$AH$3:$AJ$14,3),"0000011",$AM$3:$AM$17)</f>
        <v>16</v>
      </c>
      <c r="I24" s="32">
        <f t="shared" si="8"/>
        <v>20</v>
      </c>
      <c r="J24" s="32">
        <f t="shared" si="8"/>
        <v>23</v>
      </c>
      <c r="K24" s="32">
        <f t="shared" si="8"/>
        <v>20</v>
      </c>
      <c r="L24" s="32">
        <f t="shared" si="8"/>
        <v>20</v>
      </c>
      <c r="M24" s="32">
        <f t="shared" si="8"/>
        <v>22</v>
      </c>
      <c r="N24" s="32">
        <f t="shared" si="8"/>
        <v>21</v>
      </c>
      <c r="O24" s="32">
        <f t="shared" si="8"/>
        <v>23</v>
      </c>
      <c r="P24" s="32">
        <f t="shared" si="8"/>
        <v>19</v>
      </c>
      <c r="Q24" s="32">
        <f t="shared" si="8"/>
        <v>22</v>
      </c>
      <c r="R24" s="32">
        <f t="shared" si="8"/>
        <v>22</v>
      </c>
      <c r="S24" s="32">
        <f t="shared" si="8"/>
        <v>21</v>
      </c>
      <c r="T24" s="84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</row>
    <row r="25" spans="1:39" s="5" customFormat="1">
      <c r="A25" s="10" t="s">
        <v>164</v>
      </c>
      <c r="B25" s="8" t="s">
        <v>204</v>
      </c>
      <c r="C25" s="58" t="s">
        <v>205</v>
      </c>
      <c r="D25" s="108" t="str">
        <f t="shared" ref="D25:D34" si="9">$A$21&amp;"_"&amp;C25&amp;"_"&amp;"001"</f>
        <v>TB_RAK_001</v>
      </c>
      <c r="E25" s="14">
        <v>44958</v>
      </c>
      <c r="F25" s="33">
        <v>45000</v>
      </c>
      <c r="G25" s="46">
        <v>30</v>
      </c>
      <c r="H25" s="11">
        <v>0</v>
      </c>
      <c r="I25" s="101">
        <f>NETWORKDAYS.INTL(E25,VLOOKUP($I$23,$AH$3:$AJ$14,3),"0000011",$AM$3:$AM$17)</f>
        <v>20</v>
      </c>
      <c r="J25" s="97">
        <f>NETWORKDAYS.INTL(VLOOKUP(J23,$AH$3:$AJ$14,2),F25,"0000011",$AM$3:$AM$17)</f>
        <v>11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80">
        <v>0</v>
      </c>
      <c r="T25" s="79">
        <f>H25*$G$25*8</f>
        <v>0</v>
      </c>
      <c r="U25" s="79">
        <f>I25*$G$25*8</f>
        <v>4800</v>
      </c>
      <c r="V25" s="79">
        <f t="shared" ref="V25:AE25" si="10">J25*$G$25*8</f>
        <v>2640</v>
      </c>
      <c r="W25" s="79">
        <f t="shared" si="10"/>
        <v>0</v>
      </c>
      <c r="X25" s="79">
        <f t="shared" si="10"/>
        <v>0</v>
      </c>
      <c r="Y25" s="79">
        <f t="shared" si="10"/>
        <v>0</v>
      </c>
      <c r="Z25" s="79">
        <f t="shared" si="10"/>
        <v>0</v>
      </c>
      <c r="AA25" s="79">
        <f t="shared" si="10"/>
        <v>0</v>
      </c>
      <c r="AB25" s="79">
        <f t="shared" si="10"/>
        <v>0</v>
      </c>
      <c r="AC25" s="79">
        <f t="shared" si="10"/>
        <v>0</v>
      </c>
      <c r="AD25" s="79">
        <f t="shared" si="10"/>
        <v>0</v>
      </c>
      <c r="AE25" s="79">
        <f t="shared" si="10"/>
        <v>0</v>
      </c>
    </row>
    <row r="26" spans="1:39" s="5" customFormat="1">
      <c r="A26" s="10" t="s">
        <v>164</v>
      </c>
      <c r="B26" s="8" t="s">
        <v>206</v>
      </c>
      <c r="C26" s="58" t="s">
        <v>205</v>
      </c>
      <c r="D26" s="108" t="str">
        <f t="shared" si="9"/>
        <v>TB_RAK_001</v>
      </c>
      <c r="E26" s="14">
        <v>44958</v>
      </c>
      <c r="F26" s="33">
        <v>45194</v>
      </c>
      <c r="G26" s="74">
        <v>50</v>
      </c>
      <c r="H26" s="11">
        <v>0</v>
      </c>
      <c r="I26" s="101">
        <f>NETWORKDAYS.INTL(E26,VLOOKUP($I$23,$AH$3:$AJ$14,3),"0000011",$AM$3:$AM$17)</f>
        <v>20</v>
      </c>
      <c r="J26" s="11">
        <f>$J$24</f>
        <v>23</v>
      </c>
      <c r="K26" s="11">
        <f>$K$24</f>
        <v>20</v>
      </c>
      <c r="L26" s="11">
        <f>$L$24</f>
        <v>20</v>
      </c>
      <c r="M26" s="11">
        <f>$M$24</f>
        <v>22</v>
      </c>
      <c r="N26" s="11">
        <f>$N$24</f>
        <v>21</v>
      </c>
      <c r="O26" s="11">
        <f>$O$24</f>
        <v>23</v>
      </c>
      <c r="P26" s="98">
        <f>NETWORKDAYS.INTL(VLOOKUP($P$23,$AH$3:$AJ$14,2),F26,"0000011",$AM$3:$AM$17)</f>
        <v>15</v>
      </c>
      <c r="Q26" s="11">
        <v>0</v>
      </c>
      <c r="R26" s="11">
        <v>0</v>
      </c>
      <c r="S26" s="80">
        <v>0</v>
      </c>
      <c r="T26" s="79">
        <f>H26*$G$26*8</f>
        <v>0</v>
      </c>
      <c r="U26" s="79">
        <f t="shared" ref="U26:AE26" si="11">I26*$G$26*8</f>
        <v>8000</v>
      </c>
      <c r="V26" s="79">
        <f t="shared" si="11"/>
        <v>9200</v>
      </c>
      <c r="W26" s="79">
        <f t="shared" si="11"/>
        <v>8000</v>
      </c>
      <c r="X26" s="79">
        <f t="shared" si="11"/>
        <v>8000</v>
      </c>
      <c r="Y26" s="79">
        <f t="shared" si="11"/>
        <v>8800</v>
      </c>
      <c r="Z26" s="79">
        <f t="shared" si="11"/>
        <v>8400</v>
      </c>
      <c r="AA26" s="79">
        <f t="shared" si="11"/>
        <v>9200</v>
      </c>
      <c r="AB26" s="79">
        <f t="shared" si="11"/>
        <v>6000</v>
      </c>
      <c r="AC26" s="79">
        <f t="shared" si="11"/>
        <v>0</v>
      </c>
      <c r="AD26" s="79">
        <f t="shared" si="11"/>
        <v>0</v>
      </c>
      <c r="AE26" s="79">
        <f t="shared" si="11"/>
        <v>0</v>
      </c>
    </row>
    <row r="27" spans="1:39" s="5" customFormat="1">
      <c r="A27" s="10" t="s">
        <v>164</v>
      </c>
      <c r="B27" s="8" t="s">
        <v>207</v>
      </c>
      <c r="C27" s="58" t="s">
        <v>205</v>
      </c>
      <c r="D27" s="108" t="str">
        <f t="shared" si="9"/>
        <v>TB_RAK_001</v>
      </c>
      <c r="E27" s="14">
        <v>44958</v>
      </c>
      <c r="F27" s="33">
        <v>45194</v>
      </c>
      <c r="G27" s="46">
        <v>75</v>
      </c>
      <c r="H27" s="11">
        <v>0</v>
      </c>
      <c r="I27" s="101">
        <f>NETWORKDAYS.INTL(E27,VLOOKUP($I$23,$AH$3:$AJ$14,3),"0000011",$AM$3:$AM$17)</f>
        <v>20</v>
      </c>
      <c r="J27" s="11">
        <f>$J$24</f>
        <v>23</v>
      </c>
      <c r="K27" s="11">
        <f>$K$24</f>
        <v>20</v>
      </c>
      <c r="L27" s="11">
        <f>$L$24</f>
        <v>20</v>
      </c>
      <c r="M27" s="11">
        <f>$M$24</f>
        <v>22</v>
      </c>
      <c r="N27" s="11">
        <f>$N$24</f>
        <v>21</v>
      </c>
      <c r="O27" s="11">
        <f>$O$24</f>
        <v>23</v>
      </c>
      <c r="P27" s="98">
        <f>NETWORKDAYS.INTL(VLOOKUP($P$23,$AH$3:$AJ$14,2),F27,"0000011",$AM$3:$AM$17)</f>
        <v>15</v>
      </c>
      <c r="Q27" s="11">
        <v>0</v>
      </c>
      <c r="R27" s="11">
        <v>0</v>
      </c>
      <c r="S27" s="80">
        <v>0</v>
      </c>
      <c r="T27" s="79">
        <f>H27*$G$27*8</f>
        <v>0</v>
      </c>
      <c r="U27" s="79">
        <f t="shared" ref="U27:AE27" si="12">I27*$G$27*8</f>
        <v>12000</v>
      </c>
      <c r="V27" s="79">
        <f t="shared" si="12"/>
        <v>13800</v>
      </c>
      <c r="W27" s="79">
        <f t="shared" si="12"/>
        <v>12000</v>
      </c>
      <c r="X27" s="79">
        <f t="shared" si="12"/>
        <v>12000</v>
      </c>
      <c r="Y27" s="79">
        <f t="shared" si="12"/>
        <v>13200</v>
      </c>
      <c r="Z27" s="79">
        <f t="shared" si="12"/>
        <v>12600</v>
      </c>
      <c r="AA27" s="79">
        <f t="shared" si="12"/>
        <v>13800</v>
      </c>
      <c r="AB27" s="79">
        <f t="shared" si="12"/>
        <v>9000</v>
      </c>
      <c r="AC27" s="79">
        <f t="shared" si="12"/>
        <v>0</v>
      </c>
      <c r="AD27" s="79">
        <f t="shared" si="12"/>
        <v>0</v>
      </c>
      <c r="AE27" s="79">
        <f t="shared" si="12"/>
        <v>0</v>
      </c>
    </row>
    <row r="28" spans="1:39" s="5" customFormat="1">
      <c r="A28" s="10" t="s">
        <v>164</v>
      </c>
      <c r="B28" s="8" t="s">
        <v>208</v>
      </c>
      <c r="C28" s="58" t="s">
        <v>205</v>
      </c>
      <c r="D28" s="108" t="str">
        <f t="shared" si="9"/>
        <v>TB_RAK_001</v>
      </c>
      <c r="E28" s="14">
        <v>44958</v>
      </c>
      <c r="F28" s="33">
        <v>45194</v>
      </c>
      <c r="G28" s="46">
        <v>90</v>
      </c>
      <c r="H28" s="11">
        <v>0</v>
      </c>
      <c r="I28" s="101">
        <f>NETWORKDAYS.INTL(E28,VLOOKUP($I$23,$AH$3:$AJ$14,3),"0000011",$AM$3:$AM$17)</f>
        <v>20</v>
      </c>
      <c r="J28" s="11">
        <f>$J$24</f>
        <v>23</v>
      </c>
      <c r="K28" s="11">
        <f>$K$24</f>
        <v>20</v>
      </c>
      <c r="L28" s="11">
        <f>$L$24</f>
        <v>20</v>
      </c>
      <c r="M28" s="11">
        <f>$M$24</f>
        <v>22</v>
      </c>
      <c r="N28" s="11">
        <f>$N$24</f>
        <v>21</v>
      </c>
      <c r="O28" s="11">
        <f>$O$24</f>
        <v>23</v>
      </c>
      <c r="P28" s="98">
        <f>NETWORKDAYS.INTL(VLOOKUP($P$23,$AH$3:$AJ$14,2),F28,"0000011",$AM$3:$AM$17)</f>
        <v>15</v>
      </c>
      <c r="Q28" s="11">
        <v>0</v>
      </c>
      <c r="R28" s="11">
        <v>0</v>
      </c>
      <c r="S28" s="80">
        <v>0</v>
      </c>
      <c r="T28" s="79">
        <f>H28*$G$28*8</f>
        <v>0</v>
      </c>
      <c r="U28" s="79">
        <f t="shared" ref="U28:AE28" si="13">I28*$G$28*8</f>
        <v>14400</v>
      </c>
      <c r="V28" s="79">
        <f t="shared" si="13"/>
        <v>16560</v>
      </c>
      <c r="W28" s="79">
        <f t="shared" si="13"/>
        <v>14400</v>
      </c>
      <c r="X28" s="79">
        <f t="shared" si="13"/>
        <v>14400</v>
      </c>
      <c r="Y28" s="79">
        <f t="shared" si="13"/>
        <v>15840</v>
      </c>
      <c r="Z28" s="79">
        <f t="shared" si="13"/>
        <v>15120</v>
      </c>
      <c r="AA28" s="79">
        <f t="shared" si="13"/>
        <v>16560</v>
      </c>
      <c r="AB28" s="79">
        <f t="shared" si="13"/>
        <v>10800</v>
      </c>
      <c r="AC28" s="79">
        <f t="shared" si="13"/>
        <v>0</v>
      </c>
      <c r="AD28" s="79">
        <f t="shared" si="13"/>
        <v>0</v>
      </c>
      <c r="AE28" s="79">
        <f t="shared" si="13"/>
        <v>0</v>
      </c>
    </row>
    <row r="29" spans="1:39" s="5" customFormat="1">
      <c r="A29" s="10" t="s">
        <v>164</v>
      </c>
      <c r="B29" s="8" t="s">
        <v>209</v>
      </c>
      <c r="C29" s="58" t="s">
        <v>205</v>
      </c>
      <c r="D29" s="108" t="str">
        <f t="shared" si="9"/>
        <v>TB_RAK_001</v>
      </c>
      <c r="E29" s="14">
        <v>44958</v>
      </c>
      <c r="F29" s="33">
        <v>45194</v>
      </c>
      <c r="G29" s="46">
        <v>100</v>
      </c>
      <c r="H29" s="11">
        <v>0</v>
      </c>
      <c r="I29" s="101">
        <f>NETWORKDAYS.INTL(E29,VLOOKUP($I$23,$AH$3:$AJ$14,3),"0000011",$AM$3:$AM$17)</f>
        <v>20</v>
      </c>
      <c r="J29" s="11">
        <f>$J$24</f>
        <v>23</v>
      </c>
      <c r="K29" s="11">
        <f>$K$24</f>
        <v>20</v>
      </c>
      <c r="L29" s="11">
        <f>$L$24</f>
        <v>20</v>
      </c>
      <c r="M29" s="11">
        <f>$M$24</f>
        <v>22</v>
      </c>
      <c r="N29" s="11">
        <f>$N$24</f>
        <v>21</v>
      </c>
      <c r="O29" s="11">
        <f>$O$24</f>
        <v>23</v>
      </c>
      <c r="P29" s="98">
        <f>NETWORKDAYS.INTL(VLOOKUP($P$23,$AH$3:$AJ$14,2),F29,"0000011",$AM$3:$AM$17)</f>
        <v>15</v>
      </c>
      <c r="Q29" s="11">
        <v>0</v>
      </c>
      <c r="R29" s="11">
        <v>0</v>
      </c>
      <c r="S29" s="80">
        <v>0</v>
      </c>
      <c r="T29" s="79">
        <f>H29*$G$29*8</f>
        <v>0</v>
      </c>
      <c r="U29" s="79">
        <f t="shared" ref="U29:AE29" si="14">I29*$G$29*8</f>
        <v>16000</v>
      </c>
      <c r="V29" s="79">
        <f t="shared" si="14"/>
        <v>18400</v>
      </c>
      <c r="W29" s="79">
        <f t="shared" si="14"/>
        <v>16000</v>
      </c>
      <c r="X29" s="79">
        <f t="shared" si="14"/>
        <v>16000</v>
      </c>
      <c r="Y29" s="79">
        <f t="shared" si="14"/>
        <v>17600</v>
      </c>
      <c r="Z29" s="79">
        <f t="shared" si="14"/>
        <v>16800</v>
      </c>
      <c r="AA29" s="79">
        <f t="shared" si="14"/>
        <v>18400</v>
      </c>
      <c r="AB29" s="79">
        <f t="shared" si="14"/>
        <v>12000</v>
      </c>
      <c r="AC29" s="79">
        <f t="shared" si="14"/>
        <v>0</v>
      </c>
      <c r="AD29" s="79">
        <f t="shared" si="14"/>
        <v>0</v>
      </c>
      <c r="AE29" s="79">
        <f t="shared" si="14"/>
        <v>0</v>
      </c>
    </row>
    <row r="30" spans="1:39" s="5" customFormat="1">
      <c r="A30" s="8" t="s">
        <v>165</v>
      </c>
      <c r="B30" s="8" t="s">
        <v>210</v>
      </c>
      <c r="C30" s="57" t="s">
        <v>211</v>
      </c>
      <c r="D30" s="108" t="str">
        <f t="shared" si="9"/>
        <v>TB_BKT_001</v>
      </c>
      <c r="E30" s="14">
        <v>44927</v>
      </c>
      <c r="F30" s="33">
        <v>45227</v>
      </c>
      <c r="G30" s="46">
        <v>80</v>
      </c>
      <c r="H30" s="11">
        <f>$H$24</f>
        <v>16</v>
      </c>
      <c r="I30" s="101">
        <f>$I$24</f>
        <v>20</v>
      </c>
      <c r="J30" s="11">
        <f t="shared" ref="J30:J34" si="15">$J$24</f>
        <v>23</v>
      </c>
      <c r="K30" s="11">
        <f t="shared" ref="K30:K32" si="16">$K$24</f>
        <v>20</v>
      </c>
      <c r="L30" s="11">
        <f t="shared" ref="L30:L32" si="17">$L$24</f>
        <v>20</v>
      </c>
      <c r="M30" s="11">
        <f t="shared" ref="M30:M32" si="18">$M$24</f>
        <v>22</v>
      </c>
      <c r="N30" s="11">
        <f t="shared" ref="N30:N32" si="19">$N$24</f>
        <v>21</v>
      </c>
      <c r="O30" s="11">
        <f t="shared" ref="O30:O32" si="20">$O$24</f>
        <v>23</v>
      </c>
      <c r="P30" s="11">
        <f t="shared" ref="P30:P32" si="21">$P$24</f>
        <v>19</v>
      </c>
      <c r="Q30" s="97">
        <f>NETWORKDAYS.INTL(VLOOKUP($Q$23,$AH$3:$AJ$14,2),F30,"0000011",$AM$3:$AM$17)</f>
        <v>20</v>
      </c>
      <c r="R30" s="11">
        <v>0</v>
      </c>
      <c r="S30" s="11">
        <v>0</v>
      </c>
      <c r="T30" s="79">
        <f>H30*$G$30*8</f>
        <v>10240</v>
      </c>
      <c r="U30" s="79">
        <f>I30*$G$30*8</f>
        <v>12800</v>
      </c>
      <c r="V30" s="79">
        <f>J30*$G$30*8</f>
        <v>14720</v>
      </c>
      <c r="W30" s="79">
        <f t="shared" ref="W30:AE30" si="22">K30*$G$30*8</f>
        <v>12800</v>
      </c>
      <c r="X30" s="79">
        <f t="shared" si="22"/>
        <v>12800</v>
      </c>
      <c r="Y30" s="79">
        <f t="shared" si="22"/>
        <v>14080</v>
      </c>
      <c r="Z30" s="79">
        <f t="shared" si="22"/>
        <v>13440</v>
      </c>
      <c r="AA30" s="79">
        <f t="shared" si="22"/>
        <v>14720</v>
      </c>
      <c r="AB30" s="79">
        <f t="shared" si="22"/>
        <v>12160</v>
      </c>
      <c r="AC30" s="79">
        <f t="shared" si="22"/>
        <v>12800</v>
      </c>
      <c r="AD30" s="79">
        <f t="shared" si="22"/>
        <v>0</v>
      </c>
      <c r="AE30" s="79">
        <f t="shared" si="22"/>
        <v>0</v>
      </c>
    </row>
    <row r="31" spans="1:39" s="5" customFormat="1">
      <c r="A31" s="8" t="s">
        <v>165</v>
      </c>
      <c r="B31" s="8" t="s">
        <v>212</v>
      </c>
      <c r="C31" s="57" t="s">
        <v>211</v>
      </c>
      <c r="D31" s="108" t="str">
        <f t="shared" si="9"/>
        <v>TB_BKT_001</v>
      </c>
      <c r="E31" s="14">
        <v>44927</v>
      </c>
      <c r="F31" s="33">
        <v>45227</v>
      </c>
      <c r="G31" s="46">
        <v>85</v>
      </c>
      <c r="H31" s="11">
        <f t="shared" ref="H31:H32" si="23">$H$24</f>
        <v>16</v>
      </c>
      <c r="I31" s="101">
        <f t="shared" ref="I31:I32" si="24">$I$24</f>
        <v>20</v>
      </c>
      <c r="J31" s="11">
        <f t="shared" si="15"/>
        <v>23</v>
      </c>
      <c r="K31" s="11">
        <f t="shared" si="16"/>
        <v>20</v>
      </c>
      <c r="L31" s="11">
        <f t="shared" si="17"/>
        <v>20</v>
      </c>
      <c r="M31" s="11">
        <f t="shared" si="18"/>
        <v>22</v>
      </c>
      <c r="N31" s="11">
        <f t="shared" si="19"/>
        <v>21</v>
      </c>
      <c r="O31" s="11">
        <f t="shared" si="20"/>
        <v>23</v>
      </c>
      <c r="P31" s="11">
        <f t="shared" si="21"/>
        <v>19</v>
      </c>
      <c r="Q31" s="97">
        <f>NETWORKDAYS.INTL(VLOOKUP($Q$23,$AH$3:$AJ$14,2),F31,"0000011",$AM$3:$AM$17)</f>
        <v>20</v>
      </c>
      <c r="R31" s="11">
        <v>0</v>
      </c>
      <c r="S31" s="11">
        <v>0</v>
      </c>
      <c r="T31" s="79">
        <f>H31*$G$31*8</f>
        <v>10880</v>
      </c>
      <c r="U31" s="79">
        <f t="shared" ref="U31:AE31" si="25">I31*$G$31*8</f>
        <v>13600</v>
      </c>
      <c r="V31" s="79">
        <f t="shared" si="25"/>
        <v>15640</v>
      </c>
      <c r="W31" s="79">
        <f t="shared" si="25"/>
        <v>13600</v>
      </c>
      <c r="X31" s="79">
        <f t="shared" si="25"/>
        <v>13600</v>
      </c>
      <c r="Y31" s="79">
        <f t="shared" si="25"/>
        <v>14960</v>
      </c>
      <c r="Z31" s="79">
        <f t="shared" si="25"/>
        <v>14280</v>
      </c>
      <c r="AA31" s="79">
        <f t="shared" si="25"/>
        <v>15640</v>
      </c>
      <c r="AB31" s="79">
        <f t="shared" si="25"/>
        <v>12920</v>
      </c>
      <c r="AC31" s="79">
        <f t="shared" si="25"/>
        <v>13600</v>
      </c>
      <c r="AD31" s="79">
        <f t="shared" si="25"/>
        <v>0</v>
      </c>
      <c r="AE31" s="79">
        <f t="shared" si="25"/>
        <v>0</v>
      </c>
    </row>
    <row r="32" spans="1:39" s="5" customFormat="1">
      <c r="A32" s="8" t="s">
        <v>165</v>
      </c>
      <c r="B32" s="8" t="s">
        <v>213</v>
      </c>
      <c r="C32" s="100" t="s">
        <v>211</v>
      </c>
      <c r="D32" s="108" t="str">
        <f t="shared" si="9"/>
        <v>TB_BKT_001</v>
      </c>
      <c r="E32" s="14">
        <v>44927</v>
      </c>
      <c r="F32" s="33">
        <v>45227</v>
      </c>
      <c r="G32" s="46">
        <v>115</v>
      </c>
      <c r="H32" s="11">
        <f t="shared" si="23"/>
        <v>16</v>
      </c>
      <c r="I32" s="101">
        <f t="shared" si="24"/>
        <v>20</v>
      </c>
      <c r="J32" s="11">
        <f t="shared" si="15"/>
        <v>23</v>
      </c>
      <c r="K32" s="11">
        <f t="shared" si="16"/>
        <v>20</v>
      </c>
      <c r="L32" s="11">
        <f t="shared" si="17"/>
        <v>20</v>
      </c>
      <c r="M32" s="11">
        <f t="shared" si="18"/>
        <v>22</v>
      </c>
      <c r="N32" s="11">
        <f t="shared" si="19"/>
        <v>21</v>
      </c>
      <c r="O32" s="11">
        <f t="shared" si="20"/>
        <v>23</v>
      </c>
      <c r="P32" s="11">
        <f t="shared" si="21"/>
        <v>19</v>
      </c>
      <c r="Q32" s="97">
        <f>NETWORKDAYS.INTL(VLOOKUP($Q$23,$AH$3:$AJ$14,2),F32,"0000011",$AM$3:$AM$17)</f>
        <v>20</v>
      </c>
      <c r="R32" s="11">
        <v>0</v>
      </c>
      <c r="S32" s="11">
        <v>0</v>
      </c>
      <c r="T32" s="79">
        <f>H32*$G$32*8</f>
        <v>14720</v>
      </c>
      <c r="U32" s="79">
        <f t="shared" ref="U32:AE32" si="26">I32*$G$32*8</f>
        <v>18400</v>
      </c>
      <c r="V32" s="79">
        <f t="shared" si="26"/>
        <v>21160</v>
      </c>
      <c r="W32" s="79">
        <f t="shared" si="26"/>
        <v>18400</v>
      </c>
      <c r="X32" s="79">
        <f t="shared" si="26"/>
        <v>18400</v>
      </c>
      <c r="Y32" s="79">
        <f t="shared" si="26"/>
        <v>20240</v>
      </c>
      <c r="Z32" s="79">
        <f t="shared" si="26"/>
        <v>19320</v>
      </c>
      <c r="AA32" s="79">
        <f t="shared" si="26"/>
        <v>21160</v>
      </c>
      <c r="AB32" s="79">
        <f t="shared" si="26"/>
        <v>17480</v>
      </c>
      <c r="AC32" s="79">
        <f t="shared" si="26"/>
        <v>18400</v>
      </c>
      <c r="AD32" s="79">
        <f t="shared" si="26"/>
        <v>0</v>
      </c>
      <c r="AE32" s="79">
        <f t="shared" si="26"/>
        <v>0</v>
      </c>
    </row>
    <row r="33" spans="1:31" s="5" customFormat="1">
      <c r="A33" s="8" t="s">
        <v>166</v>
      </c>
      <c r="B33" s="46" t="s">
        <v>214</v>
      </c>
      <c r="C33" s="99" t="s">
        <v>215</v>
      </c>
      <c r="D33" s="108" t="str">
        <f t="shared" si="9"/>
        <v>TB_OMI_001</v>
      </c>
      <c r="E33" s="33">
        <v>44967</v>
      </c>
      <c r="F33" s="33">
        <v>45044</v>
      </c>
      <c r="G33" s="46">
        <v>120</v>
      </c>
      <c r="H33" s="11">
        <v>0</v>
      </c>
      <c r="I33" s="98">
        <f>NETWORKDAYS.INTL(E33,VLOOKUP($I$23,$AH$3:$AJ$14,3),"0000011",$AM$3:$AM$17)</f>
        <v>13</v>
      </c>
      <c r="J33" s="11">
        <f t="shared" si="15"/>
        <v>23</v>
      </c>
      <c r="K33" s="98">
        <f>NETWORKDAYS.INTL(VLOOKUP($K$23,$AH$3:$AJ$14,2),F33,"0000011",$AM$3:$AM$17)</f>
        <v>20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79">
        <f>H33*$G$33*8</f>
        <v>0</v>
      </c>
      <c r="U33" s="79">
        <f t="shared" ref="U33:AE33" si="27">I33*$G$33*8</f>
        <v>12480</v>
      </c>
      <c r="V33" s="79">
        <f t="shared" si="27"/>
        <v>22080</v>
      </c>
      <c r="W33" s="79">
        <f t="shared" si="27"/>
        <v>19200</v>
      </c>
      <c r="X33" s="79">
        <f t="shared" si="27"/>
        <v>0</v>
      </c>
      <c r="Y33" s="79">
        <f t="shared" si="27"/>
        <v>0</v>
      </c>
      <c r="Z33" s="79">
        <f t="shared" si="27"/>
        <v>0</v>
      </c>
      <c r="AA33" s="79">
        <f t="shared" si="27"/>
        <v>0</v>
      </c>
      <c r="AB33" s="79">
        <f t="shared" si="27"/>
        <v>0</v>
      </c>
      <c r="AC33" s="79">
        <f t="shared" si="27"/>
        <v>0</v>
      </c>
      <c r="AD33" s="79">
        <f t="shared" si="27"/>
        <v>0</v>
      </c>
      <c r="AE33" s="79">
        <f t="shared" si="27"/>
        <v>0</v>
      </c>
    </row>
    <row r="34" spans="1:31" s="5" customFormat="1">
      <c r="A34" s="8" t="s">
        <v>166</v>
      </c>
      <c r="B34" s="46" t="s">
        <v>216</v>
      </c>
      <c r="C34" s="99" t="s">
        <v>215</v>
      </c>
      <c r="D34" s="108" t="str">
        <f t="shared" si="9"/>
        <v>TB_OMI_001</v>
      </c>
      <c r="E34" s="33">
        <v>44967</v>
      </c>
      <c r="F34" s="33">
        <v>45044</v>
      </c>
      <c r="G34" s="46">
        <v>150</v>
      </c>
      <c r="H34" s="11">
        <v>0</v>
      </c>
      <c r="I34" s="98">
        <f>NETWORKDAYS.INTL(E34,VLOOKUP($I$23,$AH$3:$AJ$14,3),"0000011",$AM$3:$AM$17)</f>
        <v>13</v>
      </c>
      <c r="J34" s="11">
        <f t="shared" si="15"/>
        <v>23</v>
      </c>
      <c r="K34" s="98">
        <f>NETWORKDAYS.INTL(VLOOKUP($K$23,$AH$3:$AJ$14,2),F34,"0000011",$AM$3:$AM$17)</f>
        <v>20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79">
        <f>H34*$G$34*8</f>
        <v>0</v>
      </c>
      <c r="U34" s="79">
        <f t="shared" ref="U34:AE34" si="28">I34*$G$34*8</f>
        <v>15600</v>
      </c>
      <c r="V34" s="79">
        <f t="shared" si="28"/>
        <v>27600</v>
      </c>
      <c r="W34" s="79">
        <f t="shared" si="28"/>
        <v>24000</v>
      </c>
      <c r="X34" s="79">
        <f t="shared" si="28"/>
        <v>0</v>
      </c>
      <c r="Y34" s="79">
        <f t="shared" si="28"/>
        <v>0</v>
      </c>
      <c r="Z34" s="79">
        <f t="shared" si="28"/>
        <v>0</v>
      </c>
      <c r="AA34" s="79">
        <f t="shared" si="28"/>
        <v>0</v>
      </c>
      <c r="AB34" s="79">
        <f t="shared" si="28"/>
        <v>0</v>
      </c>
      <c r="AC34" s="79">
        <f t="shared" si="28"/>
        <v>0</v>
      </c>
      <c r="AD34" s="79">
        <f t="shared" si="28"/>
        <v>0</v>
      </c>
      <c r="AE34" s="79">
        <f t="shared" si="28"/>
        <v>0</v>
      </c>
    </row>
    <row r="35" spans="1:31">
      <c r="T35" s="95"/>
    </row>
    <row r="36" spans="1:31" ht="31.5" customHeight="1"/>
    <row r="38" spans="1:31" ht="45.75" customHeight="1">
      <c r="A38" s="272" t="s">
        <v>226</v>
      </c>
      <c r="B38" s="272"/>
      <c r="C38" s="272"/>
      <c r="D38" s="272"/>
    </row>
    <row r="39" spans="1:31">
      <c r="A39" s="194" t="s">
        <v>227</v>
      </c>
      <c r="B39" t="s">
        <v>228</v>
      </c>
    </row>
    <row r="40" spans="1:31">
      <c r="A40" s="194" t="s">
        <v>229</v>
      </c>
      <c r="B40" t="s">
        <v>230</v>
      </c>
      <c r="E40" s="138"/>
    </row>
    <row r="41" spans="1:31" ht="29.15">
      <c r="A41" s="194" t="s">
        <v>231</v>
      </c>
      <c r="B41" t="s">
        <v>232</v>
      </c>
    </row>
    <row r="42" spans="1:31" ht="33" customHeight="1">
      <c r="A42" s="194" t="s">
        <v>233</v>
      </c>
      <c r="B42" t="s">
        <v>234</v>
      </c>
    </row>
    <row r="43" spans="1:31">
      <c r="A43" s="194" t="s">
        <v>235</v>
      </c>
      <c r="B43" t="s">
        <v>236</v>
      </c>
    </row>
    <row r="44" spans="1:31">
      <c r="A44" s="194"/>
      <c r="B44" s="195" t="s">
        <v>237</v>
      </c>
    </row>
    <row r="45" spans="1:31">
      <c r="A45" s="194"/>
      <c r="B45" s="195" t="s">
        <v>238</v>
      </c>
    </row>
    <row r="46" spans="1:31">
      <c r="B46" s="195" t="s">
        <v>239</v>
      </c>
    </row>
    <row r="50" spans="1:7" ht="17.25" customHeight="1"/>
    <row r="51" spans="1:7" ht="35.25" customHeight="1">
      <c r="A51" s="197" t="s">
        <v>240</v>
      </c>
      <c r="B51" s="197"/>
      <c r="C51" s="197"/>
      <c r="D51" s="197"/>
      <c r="E51" s="197"/>
      <c r="F51" s="197"/>
      <c r="G51" s="197"/>
    </row>
    <row r="52" spans="1:7" ht="25.5" customHeight="1">
      <c r="A52" s="197" t="s">
        <v>241</v>
      </c>
      <c r="B52" s="197"/>
      <c r="C52" s="197"/>
      <c r="D52" s="197"/>
      <c r="E52" s="197"/>
      <c r="F52" s="197"/>
      <c r="G52" s="197"/>
    </row>
    <row r="53" spans="1:7" ht="29.25" customHeight="1">
      <c r="A53" s="197" t="s">
        <v>242</v>
      </c>
      <c r="B53" s="197"/>
      <c r="C53" s="197"/>
      <c r="D53" s="197"/>
      <c r="E53" s="197"/>
      <c r="F53" s="197"/>
      <c r="G53" s="197"/>
    </row>
    <row r="54" spans="1:7">
      <c r="A54" s="197"/>
      <c r="B54" s="197"/>
      <c r="C54" s="197"/>
      <c r="D54" s="197"/>
      <c r="E54" s="197"/>
      <c r="F54" s="197"/>
      <c r="G54" s="197"/>
    </row>
    <row r="55" spans="1:7" ht="16.5" customHeight="1">
      <c r="A55" s="197" t="s">
        <v>243</v>
      </c>
      <c r="B55" s="197"/>
      <c r="C55" s="197"/>
      <c r="D55" s="197"/>
      <c r="E55" s="197"/>
      <c r="F55" s="197"/>
      <c r="G55" s="197"/>
    </row>
    <row r="56" spans="1:7" ht="31.5" customHeight="1">
      <c r="A56" s="197" t="s">
        <v>244</v>
      </c>
      <c r="B56" s="197"/>
      <c r="C56" s="197"/>
      <c r="D56" s="197"/>
      <c r="E56" s="197"/>
      <c r="F56" s="197"/>
      <c r="G56" s="197"/>
    </row>
  </sheetData>
  <mergeCells count="49">
    <mergeCell ref="C12:C13"/>
    <mergeCell ref="B21:AE21"/>
    <mergeCell ref="AD22:AD23"/>
    <mergeCell ref="AE22:AE23"/>
    <mergeCell ref="A22:A23"/>
    <mergeCell ref="B22:B23"/>
    <mergeCell ref="AE12:AE13"/>
    <mergeCell ref="T22:T23"/>
    <mergeCell ref="E12:E13"/>
    <mergeCell ref="AA12:AA13"/>
    <mergeCell ref="F22:F23"/>
    <mergeCell ref="A9:F9"/>
    <mergeCell ref="T19:Y19"/>
    <mergeCell ref="Y22:Y23"/>
    <mergeCell ref="Z22:Z23"/>
    <mergeCell ref="B11:AE11"/>
    <mergeCell ref="U22:U23"/>
    <mergeCell ref="X22:X23"/>
    <mergeCell ref="F12:F13"/>
    <mergeCell ref="T12:T13"/>
    <mergeCell ref="S12:S13"/>
    <mergeCell ref="AB22:AB23"/>
    <mergeCell ref="W22:W23"/>
    <mergeCell ref="AA22:AA23"/>
    <mergeCell ref="D12:D13"/>
    <mergeCell ref="A19:F19"/>
    <mergeCell ref="H22:S22"/>
    <mergeCell ref="A3:N3"/>
    <mergeCell ref="AC22:AC23"/>
    <mergeCell ref="A1:AE1"/>
    <mergeCell ref="AB12:AB13"/>
    <mergeCell ref="AC12:AC13"/>
    <mergeCell ref="AD12:AD13"/>
    <mergeCell ref="U12:U13"/>
    <mergeCell ref="V12:V13"/>
    <mergeCell ref="W12:W13"/>
    <mergeCell ref="X12:X13"/>
    <mergeCell ref="Y12:Y13"/>
    <mergeCell ref="Z12:Z13"/>
    <mergeCell ref="T9:Y9"/>
    <mergeCell ref="G12:R12"/>
    <mergeCell ref="A12:A13"/>
    <mergeCell ref="B12:B13"/>
    <mergeCell ref="A38:D38"/>
    <mergeCell ref="C22:C23"/>
    <mergeCell ref="D22:D23"/>
    <mergeCell ref="E22:E23"/>
    <mergeCell ref="V22:V23"/>
    <mergeCell ref="G22:G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732E-4C37-4659-9B00-6D808B306131}">
  <dimension ref="A1:O13"/>
  <sheetViews>
    <sheetView workbookViewId="0">
      <selection activeCell="D6" sqref="D6"/>
    </sheetView>
  </sheetViews>
  <sheetFormatPr defaultRowHeight="14.6"/>
  <cols>
    <col min="2" max="2" width="21.53515625" customWidth="1"/>
    <col min="3" max="3" width="20.84375" customWidth="1"/>
    <col min="4" max="4" width="14.69140625" bestFit="1" customWidth="1"/>
    <col min="5" max="5" width="16.15234375" customWidth="1"/>
    <col min="6" max="6" width="22" customWidth="1"/>
    <col min="7" max="8" width="14.15234375" customWidth="1"/>
    <col min="9" max="9" width="16.15234375" customWidth="1"/>
    <col min="10" max="10" width="14.69140625" customWidth="1"/>
    <col min="11" max="11" width="15.3828125" customWidth="1"/>
    <col min="12" max="12" width="16.53515625" customWidth="1"/>
    <col min="13" max="13" width="15.84375" customWidth="1"/>
    <col min="14" max="14" width="17.15234375" customWidth="1"/>
    <col min="15" max="15" width="16.84375" customWidth="1"/>
  </cols>
  <sheetData>
    <row r="1" spans="1:15">
      <c r="A1" s="285" t="s">
        <v>245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7"/>
    </row>
    <row r="2" spans="1:15" s="29" customFormat="1">
      <c r="A2" s="27"/>
      <c r="B2" s="21" t="s">
        <v>246</v>
      </c>
      <c r="C2" s="28"/>
      <c r="D2" s="28"/>
      <c r="E2" s="28"/>
      <c r="F2" s="28"/>
      <c r="G2" s="27"/>
      <c r="H2" s="27"/>
      <c r="I2" s="27"/>
      <c r="J2" s="27"/>
      <c r="K2" s="27"/>
      <c r="L2" s="27"/>
    </row>
    <row r="3" spans="1:15">
      <c r="A3" s="1"/>
      <c r="B3" s="26" t="s">
        <v>247</v>
      </c>
      <c r="C3" s="22" t="s">
        <v>248</v>
      </c>
      <c r="D3" s="22" t="s">
        <v>249</v>
      </c>
      <c r="E3" s="22" t="s">
        <v>3</v>
      </c>
      <c r="F3" s="22" t="s">
        <v>250</v>
      </c>
      <c r="G3" s="1"/>
      <c r="H3" s="1"/>
      <c r="I3" s="1"/>
      <c r="J3" s="1"/>
      <c r="K3" s="1"/>
      <c r="L3" s="1"/>
    </row>
    <row r="4" spans="1:15">
      <c r="A4" s="1"/>
      <c r="B4" s="2" t="s">
        <v>251</v>
      </c>
      <c r="C4" s="17" t="s">
        <v>252</v>
      </c>
      <c r="D4" s="17" t="s">
        <v>253</v>
      </c>
      <c r="E4" s="12">
        <f>D13</f>
        <v>1583000000</v>
      </c>
      <c r="F4" s="13" t="s">
        <v>254</v>
      </c>
      <c r="G4" s="1"/>
      <c r="H4" s="1"/>
      <c r="I4" s="1"/>
      <c r="J4" s="1"/>
      <c r="K4" s="1"/>
      <c r="L4" s="1"/>
    </row>
    <row r="5" spans="1:15">
      <c r="A5" s="1"/>
      <c r="B5" s="2" t="s">
        <v>251</v>
      </c>
      <c r="C5" s="17" t="s">
        <v>165</v>
      </c>
      <c r="D5" s="17" t="s">
        <v>255</v>
      </c>
      <c r="E5" s="12">
        <f>D11</f>
        <v>53000000</v>
      </c>
      <c r="F5" s="13" t="s">
        <v>254</v>
      </c>
      <c r="G5" s="1"/>
      <c r="H5" s="1"/>
      <c r="I5" s="1"/>
      <c r="J5" s="1"/>
      <c r="K5" s="1"/>
      <c r="L5" s="1"/>
    </row>
    <row r="6" spans="1:15">
      <c r="A6" s="1"/>
      <c r="B6" s="2" t="s">
        <v>251</v>
      </c>
      <c r="C6" s="17" t="s">
        <v>164</v>
      </c>
      <c r="D6" s="17" t="s">
        <v>256</v>
      </c>
      <c r="E6" s="12">
        <f>D10</f>
        <v>1000000000</v>
      </c>
      <c r="F6" s="13" t="s">
        <v>254</v>
      </c>
      <c r="G6" s="1"/>
      <c r="H6" s="1"/>
      <c r="I6" s="1"/>
      <c r="J6" s="1"/>
      <c r="K6" s="1"/>
      <c r="L6" s="1"/>
    </row>
    <row r="7" spans="1:15">
      <c r="B7" s="21"/>
    </row>
    <row r="8" spans="1:15">
      <c r="B8" s="288" t="s">
        <v>251</v>
      </c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88"/>
      <c r="N8" s="288"/>
      <c r="O8" s="288"/>
    </row>
    <row r="9" spans="1:15">
      <c r="B9" s="19" t="s">
        <v>171</v>
      </c>
      <c r="C9" s="24" t="s">
        <v>257</v>
      </c>
      <c r="D9" s="39" t="s">
        <v>150</v>
      </c>
      <c r="E9" s="39" t="s">
        <v>151</v>
      </c>
      <c r="F9" s="39" t="s">
        <v>152</v>
      </c>
      <c r="G9" s="39" t="s">
        <v>153</v>
      </c>
      <c r="H9" s="39" t="s">
        <v>154</v>
      </c>
      <c r="I9" s="39" t="s">
        <v>155</v>
      </c>
      <c r="J9" s="39" t="s">
        <v>156</v>
      </c>
      <c r="K9" s="39" t="s">
        <v>157</v>
      </c>
      <c r="L9" s="39" t="s">
        <v>158</v>
      </c>
      <c r="M9" s="39" t="s">
        <v>159</v>
      </c>
      <c r="N9" s="39" t="s">
        <v>160</v>
      </c>
      <c r="O9" s="39" t="s">
        <v>161</v>
      </c>
    </row>
    <row r="10" spans="1:15">
      <c r="B10" s="8" t="s">
        <v>258</v>
      </c>
      <c r="C10" s="25">
        <f>SUM(D10:O10)</f>
        <v>12000000000</v>
      </c>
      <c r="D10" s="23">
        <v>1000000000</v>
      </c>
      <c r="E10" s="54">
        <v>1000000000</v>
      </c>
      <c r="F10" s="54">
        <v>1000000000</v>
      </c>
      <c r="G10" s="54">
        <v>1000000000</v>
      </c>
      <c r="H10" s="54">
        <v>1000000000</v>
      </c>
      <c r="I10" s="54">
        <v>1000000000</v>
      </c>
      <c r="J10" s="54">
        <v>1000000000</v>
      </c>
      <c r="K10" s="54">
        <v>1000000000</v>
      </c>
      <c r="L10" s="54">
        <v>1000000000</v>
      </c>
      <c r="M10" s="54">
        <v>1000000000</v>
      </c>
      <c r="N10" s="54">
        <v>1000000000</v>
      </c>
      <c r="O10" s="54">
        <v>1000000000</v>
      </c>
    </row>
    <row r="11" spans="1:15">
      <c r="B11" s="8" t="s">
        <v>259</v>
      </c>
      <c r="C11" s="25">
        <f>SUM(D11:O11)</f>
        <v>7715000000</v>
      </c>
      <c r="D11" s="23">
        <v>53000000</v>
      </c>
      <c r="E11" s="54">
        <v>630000000</v>
      </c>
      <c r="F11" s="54">
        <v>420000000</v>
      </c>
      <c r="G11" s="54">
        <v>550000000</v>
      </c>
      <c r="H11" s="54">
        <v>670000000</v>
      </c>
      <c r="I11" s="54">
        <v>880000000</v>
      </c>
      <c r="J11" s="54">
        <v>900000000</v>
      </c>
      <c r="K11" s="54">
        <v>720000000</v>
      </c>
      <c r="L11" s="54">
        <v>680000000</v>
      </c>
      <c r="M11" s="54">
        <v>690000000</v>
      </c>
      <c r="N11" s="54">
        <v>890000000</v>
      </c>
      <c r="O11" s="54">
        <v>632000000</v>
      </c>
    </row>
    <row r="12" spans="1:15">
      <c r="B12" s="8" t="s">
        <v>260</v>
      </c>
      <c r="C12" s="25">
        <f>SUM(D12:O12)</f>
        <v>9040000000</v>
      </c>
      <c r="D12" s="23">
        <v>530000000</v>
      </c>
      <c r="E12" s="54">
        <v>430000000</v>
      </c>
      <c r="F12" s="54">
        <v>560000000</v>
      </c>
      <c r="G12" s="54">
        <v>350000000</v>
      </c>
      <c r="H12" s="54">
        <v>890000000</v>
      </c>
      <c r="I12" s="54">
        <v>760000000</v>
      </c>
      <c r="J12" s="54">
        <v>830000000</v>
      </c>
      <c r="K12" s="54">
        <v>790000000</v>
      </c>
      <c r="L12" s="54">
        <v>1230000000</v>
      </c>
      <c r="M12" s="54">
        <v>890000000</v>
      </c>
      <c r="N12" s="54">
        <v>920000000</v>
      </c>
      <c r="O12" s="54">
        <v>860000000</v>
      </c>
    </row>
    <row r="13" spans="1:15">
      <c r="B13" s="8" t="s">
        <v>261</v>
      </c>
      <c r="C13" s="25">
        <f>SUM(D13:O13)</f>
        <v>28755000000</v>
      </c>
      <c r="D13" s="23">
        <f t="shared" ref="D13:O13" si="0">SUM(D10:D12)</f>
        <v>1583000000</v>
      </c>
      <c r="E13" s="54">
        <f t="shared" si="0"/>
        <v>2060000000</v>
      </c>
      <c r="F13" s="54">
        <f t="shared" si="0"/>
        <v>1980000000</v>
      </c>
      <c r="G13" s="54">
        <f t="shared" si="0"/>
        <v>1900000000</v>
      </c>
      <c r="H13" s="54">
        <f t="shared" si="0"/>
        <v>2560000000</v>
      </c>
      <c r="I13" s="54">
        <f t="shared" si="0"/>
        <v>2640000000</v>
      </c>
      <c r="J13" s="54">
        <f t="shared" si="0"/>
        <v>2730000000</v>
      </c>
      <c r="K13" s="54">
        <f t="shared" si="0"/>
        <v>2510000000</v>
      </c>
      <c r="L13" s="54">
        <f t="shared" si="0"/>
        <v>2910000000</v>
      </c>
      <c r="M13" s="54">
        <f t="shared" si="0"/>
        <v>2580000000</v>
      </c>
      <c r="N13" s="54">
        <f t="shared" si="0"/>
        <v>2810000000</v>
      </c>
      <c r="O13" s="54">
        <f t="shared" si="0"/>
        <v>2492000000</v>
      </c>
    </row>
  </sheetData>
  <mergeCells count="2">
    <mergeCell ref="A1:L1"/>
    <mergeCell ref="B8:O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93A1-60B1-49CC-8A58-3FDDBC191C7B}">
  <dimension ref="A1:CD21"/>
  <sheetViews>
    <sheetView zoomScaleNormal="100" workbookViewId="0">
      <selection activeCell="G19" sqref="G19"/>
    </sheetView>
  </sheetViews>
  <sheetFormatPr defaultRowHeight="14.6"/>
  <cols>
    <col min="1" max="1" width="13.3046875" customWidth="1"/>
    <col min="2" max="2" width="16" bestFit="1" customWidth="1"/>
    <col min="3" max="5" width="16" customWidth="1"/>
    <col min="6" max="6" width="15.53515625" customWidth="1"/>
    <col min="7" max="7" width="23.3828125" bestFit="1" customWidth="1"/>
    <col min="8" max="8" width="10.69140625" customWidth="1"/>
    <col min="9" max="10" width="15.69140625" customWidth="1"/>
    <col min="11" max="11" width="11.3828125" bestFit="1" customWidth="1"/>
    <col min="12" max="12" width="11.84375" bestFit="1" customWidth="1"/>
    <col min="13" max="13" width="16" bestFit="1" customWidth="1"/>
    <col min="14" max="21" width="7.3828125" hidden="1" customWidth="1"/>
    <col min="22" max="25" width="11.84375" customWidth="1"/>
    <col min="26" max="26" width="11.84375" bestFit="1" customWidth="1"/>
    <col min="27" max="35" width="10.69140625" bestFit="1" customWidth="1"/>
    <col min="36" max="36" width="9.15234375" bestFit="1" customWidth="1"/>
    <col min="37" max="37" width="7.3828125" customWidth="1"/>
    <col min="38" max="38" width="9.15234375" customWidth="1"/>
    <col min="39" max="50" width="7.3828125" hidden="1" customWidth="1"/>
    <col min="51" max="52" width="10.53515625" customWidth="1"/>
    <col min="53" max="62" width="10.69140625" bestFit="1" customWidth="1"/>
    <col min="63" max="75" width="11.84375" bestFit="1" customWidth="1"/>
    <col min="76" max="76" width="3.3046875" bestFit="1" customWidth="1"/>
    <col min="77" max="77" width="10.3828125" bestFit="1" customWidth="1"/>
    <col min="78" max="78" width="11.3828125" bestFit="1" customWidth="1"/>
    <col min="80" max="80" width="35.84375" style="138" bestFit="1" customWidth="1"/>
    <col min="81" max="81" width="11.84375" customWidth="1"/>
  </cols>
  <sheetData>
    <row r="1" spans="1:82" s="52" customFormat="1" ht="30.75" customHeight="1">
      <c r="A1" s="253" t="s">
        <v>262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4"/>
      <c r="BK1" s="254"/>
      <c r="BL1" s="254"/>
      <c r="BM1" s="254"/>
      <c r="BN1" s="254"/>
      <c r="BO1" s="254"/>
      <c r="BP1" s="254"/>
      <c r="BQ1" s="254"/>
      <c r="BR1" s="254"/>
      <c r="BS1" s="254"/>
      <c r="BT1" s="254"/>
      <c r="BU1" s="254"/>
      <c r="BV1" s="254"/>
    </row>
    <row r="2" spans="1:82" s="52" customFormat="1" ht="30.75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62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23"/>
      <c r="BL2" s="123"/>
      <c r="BM2" s="123"/>
      <c r="BN2" s="123"/>
      <c r="BO2" s="123"/>
      <c r="BP2" s="123"/>
      <c r="BQ2" s="123"/>
      <c r="BR2" s="123"/>
      <c r="BS2" s="51"/>
      <c r="BT2" s="51"/>
      <c r="BU2" s="51"/>
      <c r="BV2" s="51"/>
    </row>
    <row r="3" spans="1:82" ht="15" customHeight="1">
      <c r="A3" s="280" t="s">
        <v>171</v>
      </c>
      <c r="B3" s="280" t="s">
        <v>263</v>
      </c>
      <c r="C3" s="280" t="s">
        <v>264</v>
      </c>
      <c r="D3" s="263" t="s">
        <v>265</v>
      </c>
      <c r="E3" s="263"/>
      <c r="F3" s="280" t="s">
        <v>173</v>
      </c>
      <c r="G3" s="280" t="s">
        <v>174</v>
      </c>
      <c r="H3" s="291" t="s">
        <v>266</v>
      </c>
      <c r="I3" s="292"/>
      <c r="J3" s="291" t="s">
        <v>267</v>
      </c>
      <c r="K3" s="292"/>
      <c r="L3" s="297" t="s">
        <v>268</v>
      </c>
      <c r="M3" s="297" t="s">
        <v>269</v>
      </c>
      <c r="N3" s="302" t="s">
        <v>270</v>
      </c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4"/>
      <c r="Z3" s="297" t="s">
        <v>271</v>
      </c>
      <c r="AA3" s="305" t="s">
        <v>272</v>
      </c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7" t="s">
        <v>273</v>
      </c>
      <c r="AN3" s="307"/>
      <c r="AO3" s="307"/>
      <c r="AP3" s="307"/>
      <c r="AQ3" s="307"/>
      <c r="AR3" s="307"/>
      <c r="AS3" s="307"/>
      <c r="AT3" s="307"/>
      <c r="AU3" s="307"/>
      <c r="AV3" s="307"/>
      <c r="AW3" s="307"/>
      <c r="AX3" s="307"/>
      <c r="AY3" s="300" t="s">
        <v>274</v>
      </c>
      <c r="AZ3" s="300"/>
      <c r="BA3" s="300"/>
      <c r="BB3" s="300"/>
      <c r="BC3" s="300"/>
      <c r="BD3" s="300"/>
      <c r="BE3" s="300"/>
      <c r="BF3" s="300"/>
      <c r="BG3" s="300"/>
      <c r="BH3" s="300"/>
      <c r="BI3" s="300"/>
      <c r="BJ3" s="301"/>
      <c r="BK3" s="290" t="s">
        <v>275</v>
      </c>
      <c r="BL3" s="289" t="s">
        <v>276</v>
      </c>
      <c r="BM3" s="289" t="s">
        <v>277</v>
      </c>
      <c r="BN3" s="289" t="s">
        <v>278</v>
      </c>
      <c r="BO3" s="289" t="s">
        <v>279</v>
      </c>
      <c r="BP3" s="289" t="s">
        <v>280</v>
      </c>
      <c r="BQ3" s="289" t="s">
        <v>281</v>
      </c>
      <c r="BR3" s="289" t="s">
        <v>282</v>
      </c>
      <c r="BS3" s="289" t="s">
        <v>283</v>
      </c>
      <c r="BT3" s="289" t="s">
        <v>284</v>
      </c>
      <c r="BU3" s="289" t="s">
        <v>285</v>
      </c>
      <c r="BV3" s="289" t="s">
        <v>286</v>
      </c>
    </row>
    <row r="4" spans="1:82" s="5" customFormat="1">
      <c r="A4" s="274"/>
      <c r="B4" s="274"/>
      <c r="C4" s="274"/>
      <c r="D4" s="263"/>
      <c r="E4" s="263"/>
      <c r="F4" s="274"/>
      <c r="G4" s="274"/>
      <c r="H4" s="293"/>
      <c r="I4" s="294"/>
      <c r="J4" s="295"/>
      <c r="K4" s="296"/>
      <c r="L4" s="298"/>
      <c r="M4" s="298"/>
      <c r="N4" s="126">
        <v>1</v>
      </c>
      <c r="O4" s="126">
        <v>2</v>
      </c>
      <c r="P4" s="126">
        <v>3</v>
      </c>
      <c r="Q4" s="126">
        <v>4</v>
      </c>
      <c r="R4" s="126">
        <v>5</v>
      </c>
      <c r="S4" s="126">
        <v>6</v>
      </c>
      <c r="T4" s="126">
        <v>7</v>
      </c>
      <c r="U4" s="126">
        <v>8</v>
      </c>
      <c r="V4" s="126">
        <v>9</v>
      </c>
      <c r="W4" s="126">
        <v>10</v>
      </c>
      <c r="X4" s="126">
        <v>11</v>
      </c>
      <c r="Y4" s="126">
        <v>12</v>
      </c>
      <c r="Z4" s="298"/>
      <c r="AA4" s="126">
        <v>1</v>
      </c>
      <c r="AB4" s="126">
        <v>2</v>
      </c>
      <c r="AC4" s="126">
        <v>3</v>
      </c>
      <c r="AD4" s="126">
        <v>4</v>
      </c>
      <c r="AE4" s="126">
        <v>5</v>
      </c>
      <c r="AF4" s="126">
        <v>6</v>
      </c>
      <c r="AG4" s="126">
        <v>7</v>
      </c>
      <c r="AH4" s="126">
        <v>8</v>
      </c>
      <c r="AI4" s="126">
        <v>9</v>
      </c>
      <c r="AJ4" s="126">
        <v>10</v>
      </c>
      <c r="AK4" s="126">
        <v>11</v>
      </c>
      <c r="AL4" s="126">
        <v>12</v>
      </c>
      <c r="AM4" s="168">
        <v>1</v>
      </c>
      <c r="AN4" s="168">
        <v>2</v>
      </c>
      <c r="AO4" s="168">
        <v>3</v>
      </c>
      <c r="AP4" s="168">
        <v>4</v>
      </c>
      <c r="AQ4" s="168">
        <v>5</v>
      </c>
      <c r="AR4" s="168">
        <v>6</v>
      </c>
      <c r="AS4" s="168">
        <v>7</v>
      </c>
      <c r="AT4" s="168">
        <v>8</v>
      </c>
      <c r="AU4" s="168">
        <v>9</v>
      </c>
      <c r="AV4" s="168">
        <v>10</v>
      </c>
      <c r="AW4" s="168">
        <v>11</v>
      </c>
      <c r="AX4" s="169">
        <v>12</v>
      </c>
      <c r="AY4" s="172">
        <v>1</v>
      </c>
      <c r="AZ4" s="172">
        <v>2</v>
      </c>
      <c r="BA4" s="172">
        <v>3</v>
      </c>
      <c r="BB4" s="172">
        <v>4</v>
      </c>
      <c r="BC4" s="172">
        <v>5</v>
      </c>
      <c r="BD4" s="172">
        <v>6</v>
      </c>
      <c r="BE4" s="172">
        <v>7</v>
      </c>
      <c r="BF4" s="172">
        <v>8</v>
      </c>
      <c r="BG4" s="172">
        <v>9</v>
      </c>
      <c r="BH4" s="172">
        <v>10</v>
      </c>
      <c r="BI4" s="172">
        <v>11</v>
      </c>
      <c r="BJ4" s="172">
        <v>12</v>
      </c>
      <c r="BK4" s="289"/>
      <c r="BL4" s="289"/>
      <c r="BM4" s="289"/>
      <c r="BN4" s="289"/>
      <c r="BO4" s="289"/>
      <c r="BP4" s="289"/>
      <c r="BQ4" s="289"/>
      <c r="BR4" s="289"/>
      <c r="BS4" s="289"/>
      <c r="BT4" s="289"/>
      <c r="BU4" s="289"/>
      <c r="BV4" s="289"/>
      <c r="CB4" s="138"/>
    </row>
    <row r="5" spans="1:82" s="124" customFormat="1">
      <c r="A5" s="32"/>
      <c r="B5" s="32"/>
      <c r="C5" s="32"/>
      <c r="D5" s="32" t="s">
        <v>287</v>
      </c>
      <c r="E5" s="32" t="s">
        <v>288</v>
      </c>
      <c r="F5" s="32"/>
      <c r="G5" s="32"/>
      <c r="H5" s="32"/>
      <c r="I5" s="32"/>
      <c r="J5" s="32" t="s">
        <v>287</v>
      </c>
      <c r="K5" s="32" t="s">
        <v>288</v>
      </c>
      <c r="L5" s="299"/>
      <c r="M5" s="299"/>
      <c r="N5" s="103">
        <f t="shared" ref="N5:Y5" si="0">NETWORKDAYS.INTL(VLOOKUP(N4,$BX$6:$BZ$14,2),VLOOKUP(N4,$BX$6:$BZ$14,3),"0000011",$CC$6:$CC$15)</f>
        <v>16</v>
      </c>
      <c r="O5" s="103">
        <f t="shared" si="0"/>
        <v>20</v>
      </c>
      <c r="P5" s="103">
        <f t="shared" si="0"/>
        <v>23</v>
      </c>
      <c r="Q5" s="103">
        <f t="shared" si="0"/>
        <v>20</v>
      </c>
      <c r="R5" s="103">
        <f t="shared" si="0"/>
        <v>22</v>
      </c>
      <c r="S5" s="103">
        <f t="shared" si="0"/>
        <v>22</v>
      </c>
      <c r="T5" s="103">
        <f t="shared" si="0"/>
        <v>21</v>
      </c>
      <c r="U5" s="103">
        <f t="shared" si="0"/>
        <v>23</v>
      </c>
      <c r="V5" s="103">
        <f t="shared" si="0"/>
        <v>23</v>
      </c>
      <c r="W5" s="103">
        <f t="shared" si="0"/>
        <v>23</v>
      </c>
      <c r="X5" s="103">
        <f t="shared" si="0"/>
        <v>23</v>
      </c>
      <c r="Y5" s="103">
        <f t="shared" si="0"/>
        <v>23</v>
      </c>
      <c r="Z5" s="299"/>
      <c r="AA5" s="103">
        <f t="shared" ref="AA5:BJ5" si="1">NETWORKDAYS.INTL(VLOOKUP(AA4,$BX$6:$BZ$18,2),VLOOKUP(AA4,$BX$6:$BZ$18,3),"0000011",$CC$6:$CC$21)</f>
        <v>16</v>
      </c>
      <c r="AB5" s="103">
        <f t="shared" si="1"/>
        <v>20</v>
      </c>
      <c r="AC5" s="103">
        <f t="shared" si="1"/>
        <v>23</v>
      </c>
      <c r="AD5" s="103">
        <f t="shared" si="1"/>
        <v>20</v>
      </c>
      <c r="AE5" s="103">
        <f t="shared" si="1"/>
        <v>20</v>
      </c>
      <c r="AF5" s="103">
        <f t="shared" si="1"/>
        <v>22</v>
      </c>
      <c r="AG5" s="103">
        <f t="shared" si="1"/>
        <v>21</v>
      </c>
      <c r="AH5" s="103">
        <f t="shared" si="1"/>
        <v>23</v>
      </c>
      <c r="AI5" s="103">
        <f t="shared" si="1"/>
        <v>19</v>
      </c>
      <c r="AJ5" s="103">
        <f t="shared" si="1"/>
        <v>22</v>
      </c>
      <c r="AK5" s="103">
        <f t="shared" si="1"/>
        <v>22</v>
      </c>
      <c r="AL5" s="103">
        <f t="shared" si="1"/>
        <v>21</v>
      </c>
      <c r="AM5" s="103">
        <f t="shared" si="1"/>
        <v>16</v>
      </c>
      <c r="AN5" s="103">
        <f t="shared" si="1"/>
        <v>20</v>
      </c>
      <c r="AO5" s="103">
        <f t="shared" si="1"/>
        <v>23</v>
      </c>
      <c r="AP5" s="103">
        <f t="shared" si="1"/>
        <v>20</v>
      </c>
      <c r="AQ5" s="103">
        <f t="shared" si="1"/>
        <v>20</v>
      </c>
      <c r="AR5" s="103">
        <f t="shared" si="1"/>
        <v>22</v>
      </c>
      <c r="AS5" s="103">
        <f t="shared" si="1"/>
        <v>21</v>
      </c>
      <c r="AT5" s="103">
        <f t="shared" si="1"/>
        <v>23</v>
      </c>
      <c r="AU5" s="103">
        <f t="shared" si="1"/>
        <v>19</v>
      </c>
      <c r="AV5" s="103">
        <f t="shared" si="1"/>
        <v>22</v>
      </c>
      <c r="AW5" s="103">
        <f t="shared" si="1"/>
        <v>22</v>
      </c>
      <c r="AX5" s="127">
        <f t="shared" si="1"/>
        <v>21</v>
      </c>
      <c r="AY5" s="103">
        <f t="shared" si="1"/>
        <v>16</v>
      </c>
      <c r="AZ5" s="103">
        <f t="shared" si="1"/>
        <v>20</v>
      </c>
      <c r="BA5" s="103">
        <f t="shared" si="1"/>
        <v>23</v>
      </c>
      <c r="BB5" s="103">
        <f t="shared" si="1"/>
        <v>20</v>
      </c>
      <c r="BC5" s="103">
        <f t="shared" si="1"/>
        <v>20</v>
      </c>
      <c r="BD5" s="103">
        <f t="shared" si="1"/>
        <v>22</v>
      </c>
      <c r="BE5" s="103">
        <f t="shared" si="1"/>
        <v>21</v>
      </c>
      <c r="BF5" s="103">
        <f t="shared" si="1"/>
        <v>23</v>
      </c>
      <c r="BG5" s="103">
        <f t="shared" si="1"/>
        <v>19</v>
      </c>
      <c r="BH5" s="103">
        <f t="shared" si="1"/>
        <v>22</v>
      </c>
      <c r="BI5" s="103">
        <f t="shared" si="1"/>
        <v>22</v>
      </c>
      <c r="BJ5" s="103">
        <f t="shared" si="1"/>
        <v>21</v>
      </c>
      <c r="BK5" s="289"/>
      <c r="BL5" s="289"/>
      <c r="BM5" s="289"/>
      <c r="BN5" s="289"/>
      <c r="BO5" s="289"/>
      <c r="BP5" s="289"/>
      <c r="BQ5" s="289"/>
      <c r="BR5" s="289"/>
      <c r="BS5" s="289"/>
      <c r="BT5" s="289"/>
      <c r="BU5" s="289"/>
      <c r="BV5" s="289"/>
      <c r="CB5" s="139"/>
    </row>
    <row r="6" spans="1:82" s="31" customFormat="1" ht="15">
      <c r="A6" s="16" t="s">
        <v>164</v>
      </c>
      <c r="B6" s="44" t="s">
        <v>289</v>
      </c>
      <c r="C6" s="50">
        <v>43862</v>
      </c>
      <c r="D6" s="9">
        <v>43862</v>
      </c>
      <c r="E6" s="9">
        <v>45649</v>
      </c>
      <c r="F6" s="44" t="s">
        <v>290</v>
      </c>
      <c r="G6" s="44" t="str">
        <f t="shared" ref="G6:G12" si="2">H6&amp;"_"&amp;F6&amp;"_"&amp;"001"</f>
        <v>FC_KGT_x000D__001</v>
      </c>
      <c r="H6" s="44" t="s">
        <v>168</v>
      </c>
      <c r="I6" s="16" t="s">
        <v>291</v>
      </c>
      <c r="J6" s="14">
        <v>44958</v>
      </c>
      <c r="K6" s="33">
        <v>45000</v>
      </c>
      <c r="L6" s="17">
        <v>20000000</v>
      </c>
      <c r="M6" s="128">
        <v>21450000</v>
      </c>
      <c r="N6" s="11">
        <v>0</v>
      </c>
      <c r="O6" s="101">
        <v>19</v>
      </c>
      <c r="P6" s="101">
        <v>10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80">
        <v>0</v>
      </c>
      <c r="Z6" s="131">
        <v>2000000</v>
      </c>
      <c r="AA6" s="134">
        <f>$Z$6*N6/N5</f>
        <v>0</v>
      </c>
      <c r="AB6" s="134">
        <f>$Z$6*O6/O5</f>
        <v>1900000</v>
      </c>
      <c r="AC6" s="134">
        <f t="shared" ref="AC6:AL6" si="3">$Z$6*P6/P5</f>
        <v>869565.21739130432</v>
      </c>
      <c r="AD6" s="134">
        <f t="shared" si="3"/>
        <v>0</v>
      </c>
      <c r="AE6" s="134">
        <f t="shared" si="3"/>
        <v>0</v>
      </c>
      <c r="AF6" s="134">
        <f t="shared" si="3"/>
        <v>0</v>
      </c>
      <c r="AG6" s="134">
        <f t="shared" si="3"/>
        <v>0</v>
      </c>
      <c r="AH6" s="134">
        <f t="shared" si="3"/>
        <v>0</v>
      </c>
      <c r="AI6" s="134">
        <f t="shared" si="3"/>
        <v>0</v>
      </c>
      <c r="AJ6" s="134">
        <f t="shared" si="3"/>
        <v>0</v>
      </c>
      <c r="AK6" s="134">
        <f t="shared" si="3"/>
        <v>0</v>
      </c>
      <c r="AL6" s="37">
        <f t="shared" si="3"/>
        <v>0</v>
      </c>
      <c r="AM6" s="130">
        <f>$AM$5</f>
        <v>16</v>
      </c>
      <c r="AN6" s="130">
        <f>$AN$5</f>
        <v>20</v>
      </c>
      <c r="AO6" s="130">
        <v>21</v>
      </c>
      <c r="AP6" s="130">
        <f>$AP$5</f>
        <v>20</v>
      </c>
      <c r="AQ6" s="130">
        <f>$AQ$5</f>
        <v>20</v>
      </c>
      <c r="AR6" s="130">
        <f>$AR$5</f>
        <v>22</v>
      </c>
      <c r="AS6" s="130">
        <f>$AS$5</f>
        <v>21</v>
      </c>
      <c r="AT6" s="130">
        <f>$AT$5</f>
        <v>23</v>
      </c>
      <c r="AU6" s="130">
        <f>$AU$5</f>
        <v>19</v>
      </c>
      <c r="AV6" s="10">
        <f>$AU$5</f>
        <v>19</v>
      </c>
      <c r="AW6" s="130">
        <f>$AW$5</f>
        <v>22</v>
      </c>
      <c r="AX6" s="74">
        <f>$AU$5</f>
        <v>19</v>
      </c>
      <c r="AY6" s="106">
        <f>VLOOKUP(B6,OT!$B$6:$BG$12,47,0)/$AY$5*L6</f>
        <v>0</v>
      </c>
      <c r="AZ6" s="106">
        <f>VLOOKUP(B6,OT!$B$6:$BG$12,48,0)/$AZ$5*L6</f>
        <v>1000000</v>
      </c>
      <c r="BA6" s="106">
        <f>VLOOKUP(B6,OT!$B$6:$BG$12,48,0)/$BA$5*L6</f>
        <v>869565.21739130432</v>
      </c>
      <c r="BB6" s="106">
        <f>VLOOKUP(B6,OT!$B$6:$BG$12,50,0)/$BB$5*L6</f>
        <v>0</v>
      </c>
      <c r="BC6" s="106">
        <f>VLOOKUP(B6,OT!$B$6:$BG$12,51,0)/$BC$5*L6</f>
        <v>0</v>
      </c>
      <c r="BD6" s="106">
        <f>VLOOKUP(B6,OT!$B$6:$BG$12,52,0)/$BD$5*L6</f>
        <v>0</v>
      </c>
      <c r="BE6" s="106">
        <f>VLOOKUP(B6,OT!$B$6:$BG$12,53,0)/$BE$5*L6</f>
        <v>952380.95238095231</v>
      </c>
      <c r="BF6" s="106">
        <f>VLOOKUP(B6,OT!$B$6:$BG$12,54,0)/$BF$5*L6</f>
        <v>0</v>
      </c>
      <c r="BG6" s="106">
        <f>VLOOKUP(B6,OT!$B$6:$BG$12,55,0)/$BG$5*L6</f>
        <v>0</v>
      </c>
      <c r="BH6" s="106">
        <f>VLOOKUP(B6,OT!$B$6:$BG$12,56,0)/$BH$5*L6</f>
        <v>0</v>
      </c>
      <c r="BI6" s="106">
        <f>VLOOKUP(B6,OT!$B$6:$BG$12,57,0)/$BI$5*L6</f>
        <v>0</v>
      </c>
      <c r="BJ6" s="106">
        <f>VLOOKUP(B6,OT!$B$6:$BG$12,58,0)/$BJ$5*L6</f>
        <v>0</v>
      </c>
      <c r="BK6" s="53">
        <f t="shared" ref="BK6:BV6" si="4">($M$6*AM6/AM5)+AA6+AY6</f>
        <v>21450000</v>
      </c>
      <c r="BL6" s="53">
        <f t="shared" si="4"/>
        <v>24350000</v>
      </c>
      <c r="BM6" s="53">
        <f t="shared" si="4"/>
        <v>21323913.043478262</v>
      </c>
      <c r="BN6" s="53">
        <f t="shared" si="4"/>
        <v>21450000</v>
      </c>
      <c r="BO6" s="53">
        <f t="shared" si="4"/>
        <v>21450000</v>
      </c>
      <c r="BP6" s="53">
        <f t="shared" si="4"/>
        <v>21450000</v>
      </c>
      <c r="BQ6" s="53">
        <f t="shared" si="4"/>
        <v>22402380.952380951</v>
      </c>
      <c r="BR6" s="53">
        <f t="shared" si="4"/>
        <v>21450000</v>
      </c>
      <c r="BS6" s="53">
        <f t="shared" si="4"/>
        <v>21450000</v>
      </c>
      <c r="BT6" s="53">
        <f t="shared" si="4"/>
        <v>18525000</v>
      </c>
      <c r="BU6" s="53">
        <f t="shared" si="4"/>
        <v>21450000</v>
      </c>
      <c r="BV6" s="53">
        <f t="shared" si="4"/>
        <v>19407142.857142858</v>
      </c>
      <c r="BX6" s="125">
        <v>1</v>
      </c>
      <c r="BY6" s="60">
        <v>44927</v>
      </c>
      <c r="BZ6" s="60">
        <v>44957</v>
      </c>
      <c r="CA6"/>
      <c r="CB6" s="90" t="s">
        <v>149</v>
      </c>
      <c r="CC6" s="86">
        <v>44928</v>
      </c>
      <c r="CD6"/>
    </row>
    <row r="7" spans="1:82" s="31" customFormat="1" ht="15">
      <c r="A7" s="10" t="s">
        <v>164</v>
      </c>
      <c r="B7" s="71" t="s">
        <v>292</v>
      </c>
      <c r="C7" s="14">
        <v>43863</v>
      </c>
      <c r="D7" s="14">
        <v>45050</v>
      </c>
      <c r="E7" s="9">
        <v>45497</v>
      </c>
      <c r="F7" s="71" t="s">
        <v>290</v>
      </c>
      <c r="G7" s="71" t="str">
        <f t="shared" si="2"/>
        <v>FC_KGT_x000D__001</v>
      </c>
      <c r="H7" s="71" t="s">
        <v>168</v>
      </c>
      <c r="I7" s="10" t="s">
        <v>291</v>
      </c>
      <c r="J7" s="14">
        <v>44958</v>
      </c>
      <c r="K7" s="33">
        <v>45194</v>
      </c>
      <c r="L7" s="42">
        <v>26000000</v>
      </c>
      <c r="M7" s="128">
        <v>28000000</v>
      </c>
      <c r="N7" s="11">
        <v>0</v>
      </c>
      <c r="O7" s="101">
        <v>18</v>
      </c>
      <c r="P7" s="11">
        <v>20</v>
      </c>
      <c r="Q7" s="11">
        <v>20</v>
      </c>
      <c r="R7" s="11">
        <f>$R$5</f>
        <v>22</v>
      </c>
      <c r="S7" s="11">
        <f>$S$5</f>
        <v>22</v>
      </c>
      <c r="T7" s="11">
        <f>$T$5</f>
        <v>21</v>
      </c>
      <c r="U7" s="11">
        <v>22</v>
      </c>
      <c r="V7" s="101">
        <v>14</v>
      </c>
      <c r="W7" s="11">
        <v>0</v>
      </c>
      <c r="X7" s="11">
        <v>0</v>
      </c>
      <c r="Y7" s="80">
        <v>0</v>
      </c>
      <c r="Z7" s="75">
        <v>2500000</v>
      </c>
      <c r="AA7" s="134">
        <f t="shared" ref="AA7:AL7" si="5">$Z$7*N7/N5</f>
        <v>0</v>
      </c>
      <c r="AB7" s="134">
        <f t="shared" si="5"/>
        <v>2250000</v>
      </c>
      <c r="AC7" s="134">
        <f t="shared" si="5"/>
        <v>2173913.0434782607</v>
      </c>
      <c r="AD7" s="134">
        <f t="shared" si="5"/>
        <v>2500000</v>
      </c>
      <c r="AE7" s="134">
        <f t="shared" si="5"/>
        <v>2500000</v>
      </c>
      <c r="AF7" s="134">
        <f t="shared" si="5"/>
        <v>2500000</v>
      </c>
      <c r="AG7" s="134">
        <f t="shared" si="5"/>
        <v>2500000</v>
      </c>
      <c r="AH7" s="134">
        <f t="shared" si="5"/>
        <v>2391304.3478260869</v>
      </c>
      <c r="AI7" s="134">
        <f t="shared" si="5"/>
        <v>1521739.1304347827</v>
      </c>
      <c r="AJ7" s="134">
        <f t="shared" si="5"/>
        <v>0</v>
      </c>
      <c r="AK7" s="134">
        <f t="shared" si="5"/>
        <v>0</v>
      </c>
      <c r="AL7" s="37">
        <f t="shared" si="5"/>
        <v>0</v>
      </c>
      <c r="AM7" s="72">
        <v>15</v>
      </c>
      <c r="AN7" s="10">
        <f>$AN$5</f>
        <v>20</v>
      </c>
      <c r="AO7" s="10">
        <f>$AO$5</f>
        <v>23</v>
      </c>
      <c r="AP7" s="10">
        <f>$AP$5</f>
        <v>20</v>
      </c>
      <c r="AQ7" s="10">
        <v>19</v>
      </c>
      <c r="AR7" s="10">
        <v>21</v>
      </c>
      <c r="AS7" s="10">
        <v>20</v>
      </c>
      <c r="AT7" s="10">
        <f>$AW$5</f>
        <v>22</v>
      </c>
      <c r="AU7" s="10">
        <f>$AU$5</f>
        <v>19</v>
      </c>
      <c r="AV7" s="10">
        <v>20</v>
      </c>
      <c r="AW7" s="10">
        <f>$AU$5</f>
        <v>19</v>
      </c>
      <c r="AX7" s="74">
        <v>20</v>
      </c>
      <c r="AY7" s="106">
        <f>VLOOKUP(B7,OT!$B$6:$BG$12,47,0)/$AY$5*L7</f>
        <v>1218750</v>
      </c>
      <c r="AZ7" s="106">
        <f>VLOOKUP(B7,OT!$B$6:$BG$12,48,0)/$AZ$5*L7</f>
        <v>1300000</v>
      </c>
      <c r="BA7" s="106">
        <f>VLOOKUP(B7,OT!$B$6:$BG$12,48,0)/$BA$5*L7</f>
        <v>1130434.7826086956</v>
      </c>
      <c r="BB7" s="106">
        <f>VLOOKUP(B7,OT!$B$6:$BG$12,50,0)/$BB$5*L7</f>
        <v>975000</v>
      </c>
      <c r="BC7" s="106">
        <f>VLOOKUP(B7,OT!$B$6:$BG$12,51,0)/$BC$5*L7</f>
        <v>1950000</v>
      </c>
      <c r="BD7" s="106">
        <f>VLOOKUP(B7,OT!$B$6:$BG$12,52,0)/$BD$5*L7</f>
        <v>0</v>
      </c>
      <c r="BE7" s="106">
        <f>VLOOKUP(B7,OT!$B$6:$BG$12,53,0)/$BE$5*L7</f>
        <v>0</v>
      </c>
      <c r="BF7" s="106">
        <f>VLOOKUP(B7,OT!$B$6:$BG$12,54,0)/$BF$5*L7</f>
        <v>0</v>
      </c>
      <c r="BG7" s="106">
        <f>VLOOKUP(B7,OT!$B$6:$BG$12,55,0)/$BG$5*L7</f>
        <v>2052631.5789473683</v>
      </c>
      <c r="BH7" s="106">
        <f>VLOOKUP(B7,OT!$B$6:$BG$12,56,0)/$BH$5*L7</f>
        <v>886363.63636363635</v>
      </c>
      <c r="BI7" s="106">
        <f>VLOOKUP(B7,OT!$B$6:$BG$12,57,0)/$BI$5*L7</f>
        <v>0</v>
      </c>
      <c r="BJ7" s="106">
        <f>VLOOKUP(B7,OT!$B$6:$BG$12,58,0)/$BJ$5*L7</f>
        <v>0</v>
      </c>
      <c r="BK7" s="53">
        <f t="shared" ref="BK7:BV7" si="6">($M$7*AM7/AM5)+AA7+AY7</f>
        <v>27468750</v>
      </c>
      <c r="BL7" s="53">
        <f t="shared" si="6"/>
        <v>31550000</v>
      </c>
      <c r="BM7" s="53">
        <f t="shared" si="6"/>
        <v>31304347.826086957</v>
      </c>
      <c r="BN7" s="53">
        <f t="shared" si="6"/>
        <v>31475000</v>
      </c>
      <c r="BO7" s="53">
        <f t="shared" si="6"/>
        <v>31050000</v>
      </c>
      <c r="BP7" s="53">
        <f t="shared" si="6"/>
        <v>29227272.727272727</v>
      </c>
      <c r="BQ7" s="53">
        <f t="shared" si="6"/>
        <v>29166666.666666668</v>
      </c>
      <c r="BR7" s="53">
        <f t="shared" si="6"/>
        <v>29173913.043478262</v>
      </c>
      <c r="BS7" s="53">
        <f t="shared" si="6"/>
        <v>31574370.70938215</v>
      </c>
      <c r="BT7" s="53">
        <f t="shared" si="6"/>
        <v>26340909.09090909</v>
      </c>
      <c r="BU7" s="53">
        <f t="shared" si="6"/>
        <v>24181818.181818184</v>
      </c>
      <c r="BV7" s="53">
        <f t="shared" si="6"/>
        <v>26666666.666666668</v>
      </c>
      <c r="BX7" s="125">
        <v>2</v>
      </c>
      <c r="BY7" s="60">
        <v>44958</v>
      </c>
      <c r="BZ7" s="60">
        <v>44985</v>
      </c>
      <c r="CA7"/>
      <c r="CB7" s="90" t="s">
        <v>163</v>
      </c>
      <c r="CC7" s="86">
        <v>44946</v>
      </c>
      <c r="CD7"/>
    </row>
    <row r="8" spans="1:82" s="31" customFormat="1" ht="15">
      <c r="A8" s="8" t="s">
        <v>164</v>
      </c>
      <c r="B8" s="43" t="s">
        <v>293</v>
      </c>
      <c r="C8" s="9">
        <v>43864</v>
      </c>
      <c r="D8" s="9">
        <v>44927</v>
      </c>
      <c r="E8" s="9">
        <v>45498</v>
      </c>
      <c r="F8" s="43" t="s">
        <v>290</v>
      </c>
      <c r="G8" s="43" t="str">
        <f t="shared" si="2"/>
        <v>FC_KGT_x000D__001</v>
      </c>
      <c r="H8" s="43" t="s">
        <v>168</v>
      </c>
      <c r="I8" s="8" t="s">
        <v>291</v>
      </c>
      <c r="J8" s="14">
        <v>44958</v>
      </c>
      <c r="K8" s="33">
        <v>45194</v>
      </c>
      <c r="L8" s="18">
        <v>10000000</v>
      </c>
      <c r="M8" s="129">
        <v>10890000</v>
      </c>
      <c r="N8" s="11">
        <v>0</v>
      </c>
      <c r="O8" s="101">
        <f>NETWORKDAYS.INTL(J8,VLOOKUP($O$4,$BX$6:$BZ$18,3),"0000011",$CC$6:$CC$21)</f>
        <v>20</v>
      </c>
      <c r="P8" s="11">
        <v>21</v>
      </c>
      <c r="Q8" s="11">
        <f t="shared" ref="Q8:Q11" si="7">$Q$5</f>
        <v>20</v>
      </c>
      <c r="R8" s="11">
        <f t="shared" ref="R8" si="8">$R$5</f>
        <v>22</v>
      </c>
      <c r="S8" s="11">
        <f t="shared" ref="S8:S12" si="9">$S$5</f>
        <v>22</v>
      </c>
      <c r="T8" s="11">
        <f t="shared" ref="T8:T12" si="10">$T$5</f>
        <v>21</v>
      </c>
      <c r="U8" s="11">
        <f t="shared" ref="U8:U11" si="11">$U$5</f>
        <v>23</v>
      </c>
      <c r="V8" s="101">
        <f>NETWORKDAYS.INTL(VLOOKUP($V$4,$BX$6:$BZ$18,2),K8,"0000011",$CC$6:$CC$21)</f>
        <v>15</v>
      </c>
      <c r="W8" s="11">
        <v>0</v>
      </c>
      <c r="X8" s="11">
        <v>0</v>
      </c>
      <c r="Y8" s="80">
        <v>0</v>
      </c>
      <c r="Z8" s="75">
        <v>1000000</v>
      </c>
      <c r="AA8" s="134">
        <f t="shared" ref="AA8:AL8" si="12">$Z$8*N8/N5</f>
        <v>0</v>
      </c>
      <c r="AB8" s="134">
        <f t="shared" si="12"/>
        <v>1000000</v>
      </c>
      <c r="AC8" s="134">
        <f t="shared" si="12"/>
        <v>913043.47826086951</v>
      </c>
      <c r="AD8" s="134">
        <f t="shared" si="12"/>
        <v>1000000</v>
      </c>
      <c r="AE8" s="134">
        <f t="shared" si="12"/>
        <v>1000000</v>
      </c>
      <c r="AF8" s="134">
        <f t="shared" si="12"/>
        <v>1000000</v>
      </c>
      <c r="AG8" s="134">
        <f t="shared" si="12"/>
        <v>1000000</v>
      </c>
      <c r="AH8" s="134">
        <f t="shared" si="12"/>
        <v>1000000</v>
      </c>
      <c r="AI8" s="134">
        <f t="shared" si="12"/>
        <v>652173.91304347827</v>
      </c>
      <c r="AJ8" s="134">
        <f t="shared" si="12"/>
        <v>0</v>
      </c>
      <c r="AK8" s="134">
        <f t="shared" si="12"/>
        <v>0</v>
      </c>
      <c r="AL8" s="140">
        <f t="shared" si="12"/>
        <v>0</v>
      </c>
      <c r="AM8" s="72">
        <v>16</v>
      </c>
      <c r="AN8" s="10">
        <f>$AN$5</f>
        <v>20</v>
      </c>
      <c r="AO8" s="10">
        <f>$AO$5</f>
        <v>23</v>
      </c>
      <c r="AP8" s="10">
        <f>$AP$5</f>
        <v>20</v>
      </c>
      <c r="AQ8" s="10">
        <f>$AQ$5</f>
        <v>20</v>
      </c>
      <c r="AR8" s="10">
        <f>$AR$5</f>
        <v>22</v>
      </c>
      <c r="AS8" s="10">
        <f>$AS$5</f>
        <v>21</v>
      </c>
      <c r="AT8" s="10">
        <f>$AT$5</f>
        <v>23</v>
      </c>
      <c r="AU8" s="10">
        <f>$AU$5</f>
        <v>19</v>
      </c>
      <c r="AV8" s="10">
        <f>$AV$5</f>
        <v>22</v>
      </c>
      <c r="AW8" s="10">
        <f>$AW$5</f>
        <v>22</v>
      </c>
      <c r="AX8" s="132">
        <f>$AX$5</f>
        <v>21</v>
      </c>
      <c r="AY8" s="106">
        <f>VLOOKUP(B8,OT!$B$6:$BG$12,47,0)/$AY$5*L8</f>
        <v>0</v>
      </c>
      <c r="AZ8" s="106">
        <f>VLOOKUP(B8,OT!$B$6:$BG$12,48,0)/$AZ$5*L8</f>
        <v>0</v>
      </c>
      <c r="BA8" s="106">
        <f>VLOOKUP(B8,OT!$B$6:$BG$12,48,0)/$BA$5*L8</f>
        <v>0</v>
      </c>
      <c r="BB8" s="106">
        <f>VLOOKUP(B8,OT!$B$6:$BG$12,50,0)/$BB$5*L8</f>
        <v>0</v>
      </c>
      <c r="BC8" s="106">
        <f>VLOOKUP(B8,OT!$B$6:$BG$12,51,0)/$BC$5*L8</f>
        <v>0</v>
      </c>
      <c r="BD8" s="106">
        <f>VLOOKUP(B8,OT!$B$6:$BG$12,52,0)/$BD$5*L8</f>
        <v>0</v>
      </c>
      <c r="BE8" s="106">
        <f>VLOOKUP(B8,OT!$B$6:$BG$12,53,0)/$BE$5*L8</f>
        <v>0</v>
      </c>
      <c r="BF8" s="106">
        <f>VLOOKUP(B8,OT!$B$6:$BG$12,54,0)/$BF$5*L8</f>
        <v>326086.95652173914</v>
      </c>
      <c r="BG8" s="106">
        <f>VLOOKUP(B8,OT!$B$6:$BG$12,55,0)/$BG$5*L8</f>
        <v>0</v>
      </c>
      <c r="BH8" s="106">
        <f>VLOOKUP(B8,OT!$B$6:$BG$12,56,0)/$BH$5*L8</f>
        <v>0</v>
      </c>
      <c r="BI8" s="106">
        <f>VLOOKUP(B8,OT!$B$6:$BG$12,57,0)/$BI$5*L8</f>
        <v>0</v>
      </c>
      <c r="BJ8" s="106">
        <f>VLOOKUP(B8,OT!$B$6:$BG$12,58,0)/$BJ$5*L8</f>
        <v>0</v>
      </c>
      <c r="BK8" s="142">
        <f t="shared" ref="BK8:BV8" si="13">($M$8*AM8/AM5)+AA8+AY8</f>
        <v>10890000</v>
      </c>
      <c r="BL8" s="142">
        <f t="shared" si="13"/>
        <v>11890000</v>
      </c>
      <c r="BM8" s="142">
        <f t="shared" si="13"/>
        <v>11803043.478260869</v>
      </c>
      <c r="BN8" s="142">
        <f t="shared" si="13"/>
        <v>11890000</v>
      </c>
      <c r="BO8" s="142">
        <f t="shared" si="13"/>
        <v>11890000</v>
      </c>
      <c r="BP8" s="142">
        <f t="shared" si="13"/>
        <v>11890000</v>
      </c>
      <c r="BQ8" s="142">
        <f t="shared" si="13"/>
        <v>11890000</v>
      </c>
      <c r="BR8" s="142">
        <f t="shared" si="13"/>
        <v>12216086.956521738</v>
      </c>
      <c r="BS8" s="142">
        <f t="shared" si="13"/>
        <v>11542173.913043479</v>
      </c>
      <c r="BT8" s="142">
        <f t="shared" si="13"/>
        <v>10890000</v>
      </c>
      <c r="BU8" s="142">
        <f t="shared" si="13"/>
        <v>10890000</v>
      </c>
      <c r="BV8" s="142">
        <f t="shared" si="13"/>
        <v>10890000</v>
      </c>
      <c r="BX8" s="125">
        <v>3</v>
      </c>
      <c r="BY8" s="60">
        <v>44986</v>
      </c>
      <c r="BZ8" s="60">
        <v>45016</v>
      </c>
      <c r="CA8"/>
      <c r="CB8" s="91"/>
      <c r="CC8" s="86">
        <v>44947</v>
      </c>
      <c r="CD8"/>
    </row>
    <row r="9" spans="1:82" s="5" customFormat="1" ht="15">
      <c r="A9" s="144" t="s">
        <v>165</v>
      </c>
      <c r="B9" s="145" t="s">
        <v>294</v>
      </c>
      <c r="C9" s="146">
        <v>43865</v>
      </c>
      <c r="D9" s="147">
        <v>43862</v>
      </c>
      <c r="E9" s="147">
        <v>45008</v>
      </c>
      <c r="F9" s="148" t="s">
        <v>211</v>
      </c>
      <c r="G9" s="148" t="str">
        <f t="shared" si="2"/>
        <v>TB_BKT_001</v>
      </c>
      <c r="H9" s="148" t="s">
        <v>199</v>
      </c>
      <c r="I9" s="144" t="s">
        <v>200</v>
      </c>
      <c r="J9" s="149">
        <v>44958</v>
      </c>
      <c r="K9" s="150">
        <v>45194</v>
      </c>
      <c r="L9" s="151">
        <v>10000000</v>
      </c>
      <c r="M9" s="152">
        <v>13890000</v>
      </c>
      <c r="N9" s="153">
        <v>0</v>
      </c>
      <c r="O9" s="154">
        <v>19</v>
      </c>
      <c r="P9" s="154">
        <f>NETWORKDAYS.INTL(VLOOKUP($P$4,$BX$6:$BZ$18,2),E9,"0000011",$CC$6:$CC$21)</f>
        <v>17</v>
      </c>
      <c r="Q9" s="153">
        <v>0</v>
      </c>
      <c r="R9" s="153">
        <v>0</v>
      </c>
      <c r="S9" s="153">
        <v>0</v>
      </c>
      <c r="T9" s="153">
        <v>0</v>
      </c>
      <c r="U9" s="153">
        <v>0</v>
      </c>
      <c r="V9" s="153">
        <v>0</v>
      </c>
      <c r="W9" s="153">
        <v>0</v>
      </c>
      <c r="X9" s="153">
        <v>0</v>
      </c>
      <c r="Y9" s="155">
        <v>0</v>
      </c>
      <c r="Z9" s="156">
        <v>3500000</v>
      </c>
      <c r="AA9" s="157">
        <f t="shared" ref="AA9:AL9" si="14">$Z$9*N9/N5</f>
        <v>0</v>
      </c>
      <c r="AB9" s="157">
        <f t="shared" si="14"/>
        <v>3325000</v>
      </c>
      <c r="AC9" s="158">
        <f t="shared" si="14"/>
        <v>2586956.5217391304</v>
      </c>
      <c r="AD9" s="157">
        <f t="shared" si="14"/>
        <v>0</v>
      </c>
      <c r="AE9" s="157">
        <f t="shared" si="14"/>
        <v>0</v>
      </c>
      <c r="AF9" s="157">
        <f t="shared" si="14"/>
        <v>0</v>
      </c>
      <c r="AG9" s="157">
        <f t="shared" si="14"/>
        <v>0</v>
      </c>
      <c r="AH9" s="157">
        <f t="shared" si="14"/>
        <v>0</v>
      </c>
      <c r="AI9" s="157">
        <f t="shared" si="14"/>
        <v>0</v>
      </c>
      <c r="AJ9" s="157">
        <f t="shared" si="14"/>
        <v>0</v>
      </c>
      <c r="AK9" s="157">
        <f t="shared" si="14"/>
        <v>0</v>
      </c>
      <c r="AL9" s="159">
        <f t="shared" si="14"/>
        <v>0</v>
      </c>
      <c r="AM9" s="112">
        <v>16</v>
      </c>
      <c r="AN9" s="112">
        <v>19</v>
      </c>
      <c r="AO9" s="154">
        <f>NETWORKDAYS.INTL(VLOOKUP($AO$4,$BX$6:$BZ$18,2),E9,"0000011",$CC$6:$CC$21)</f>
        <v>17</v>
      </c>
      <c r="AP9" s="153">
        <v>0</v>
      </c>
      <c r="AQ9" s="153">
        <v>0</v>
      </c>
      <c r="AR9" s="153">
        <v>0</v>
      </c>
      <c r="AS9" s="153">
        <v>0</v>
      </c>
      <c r="AT9" s="153">
        <v>0</v>
      </c>
      <c r="AU9" s="153">
        <v>0</v>
      </c>
      <c r="AV9" s="153">
        <v>0</v>
      </c>
      <c r="AW9" s="155">
        <v>0</v>
      </c>
      <c r="AX9" s="155">
        <v>0</v>
      </c>
      <c r="AY9" s="160">
        <f>VLOOKUP(B9,OT!$B$6:$BG$12,47,0)/$AY$5*L9</f>
        <v>625000</v>
      </c>
      <c r="AZ9" s="160">
        <f>VLOOKUP(B9,OT!$B$6:$BG$12,48,0)/$AZ$5*L9</f>
        <v>0</v>
      </c>
      <c r="BA9" s="160">
        <f>VLOOKUP(B9,OT!$B$6:$BG$12,48,0)/$BA$5*L9</f>
        <v>0</v>
      </c>
      <c r="BB9" s="160">
        <f>VLOOKUP(B9,OT!$B$6:$BG$12,50,0)/$BB$5*L9</f>
        <v>0</v>
      </c>
      <c r="BC9" s="160">
        <f>VLOOKUP(B9,OT!$B$6:$BG$12,51,0)/$BC$5*L9</f>
        <v>500000</v>
      </c>
      <c r="BD9" s="160">
        <f>VLOOKUP(B9,OT!$B$6:$BG$12,52,0)/$BD$5*L9</f>
        <v>0</v>
      </c>
      <c r="BE9" s="160">
        <f>VLOOKUP(B9,OT!$B$6:$BG$12,53,0)/$BE$5*L9</f>
        <v>476190.47619047615</v>
      </c>
      <c r="BF9" s="160">
        <f>VLOOKUP(B9,OT!$B$6:$BG$12,54,0)/$BF$5*L9</f>
        <v>0</v>
      </c>
      <c r="BG9" s="160">
        <f>VLOOKUP(B9,OT!$B$6:$BG$12,55,0)/$BG$5*L9</f>
        <v>0</v>
      </c>
      <c r="BH9" s="160">
        <f>VLOOKUP(B9,OT!$B$6:$BG$12,56,0)/$BH$5*L9</f>
        <v>454545.45454545453</v>
      </c>
      <c r="BI9" s="160">
        <f>VLOOKUP(B9,OT!$B$6:$BG$12,57,0)/$BI$5*L9</f>
        <v>0</v>
      </c>
      <c r="BJ9" s="160">
        <f>VLOOKUP(B9,OT!$B$6:$BG$12,58,0)/$BJ$5*L9</f>
        <v>0</v>
      </c>
      <c r="BK9" s="160">
        <f t="shared" ref="BK9:BV9" si="15">($M$9*AM9/AM5)+AA9+AY9</f>
        <v>14515000</v>
      </c>
      <c r="BL9" s="160">
        <f t="shared" si="15"/>
        <v>16520500</v>
      </c>
      <c r="BM9" s="160">
        <f t="shared" si="15"/>
        <v>12853478.260869566</v>
      </c>
      <c r="BN9" s="160">
        <f t="shared" si="15"/>
        <v>0</v>
      </c>
      <c r="BO9" s="160">
        <f t="shared" si="15"/>
        <v>500000</v>
      </c>
      <c r="BP9" s="160">
        <f t="shared" si="15"/>
        <v>0</v>
      </c>
      <c r="BQ9" s="160">
        <f t="shared" si="15"/>
        <v>476190.47619047615</v>
      </c>
      <c r="BR9" s="160">
        <f t="shared" si="15"/>
        <v>0</v>
      </c>
      <c r="BS9" s="160">
        <f t="shared" si="15"/>
        <v>0</v>
      </c>
      <c r="BT9" s="160">
        <f t="shared" si="15"/>
        <v>454545.45454545453</v>
      </c>
      <c r="BU9" s="160">
        <f t="shared" si="15"/>
        <v>0</v>
      </c>
      <c r="BV9" s="160">
        <f t="shared" si="15"/>
        <v>0</v>
      </c>
      <c r="BX9" s="125">
        <v>4</v>
      </c>
      <c r="BY9" s="60">
        <v>45017</v>
      </c>
      <c r="BZ9" s="60">
        <v>45046</v>
      </c>
      <c r="CA9"/>
      <c r="CB9" s="91"/>
      <c r="CC9" s="86">
        <v>44948</v>
      </c>
      <c r="CD9"/>
    </row>
    <row r="10" spans="1:82" s="5" customFormat="1" ht="15">
      <c r="A10" s="144" t="s">
        <v>165</v>
      </c>
      <c r="B10" s="145" t="s">
        <v>294</v>
      </c>
      <c r="C10" s="146">
        <v>43865</v>
      </c>
      <c r="D10" s="147">
        <v>45009</v>
      </c>
      <c r="E10" s="147">
        <v>45375</v>
      </c>
      <c r="F10" s="148" t="s">
        <v>211</v>
      </c>
      <c r="G10" s="148" t="str">
        <f t="shared" si="2"/>
        <v>TB_BKT_001</v>
      </c>
      <c r="H10" s="148" t="s">
        <v>199</v>
      </c>
      <c r="I10" s="144" t="s">
        <v>200</v>
      </c>
      <c r="J10" s="149">
        <v>44958</v>
      </c>
      <c r="K10" s="150">
        <v>45194</v>
      </c>
      <c r="L10" s="151">
        <v>15000000</v>
      </c>
      <c r="M10" s="152">
        <v>19890000</v>
      </c>
      <c r="N10" s="153">
        <v>0</v>
      </c>
      <c r="O10" s="154">
        <v>0</v>
      </c>
      <c r="P10" s="154">
        <f>NETWORKDAYS.INTL(D10,VLOOKUP($P$4,$BX$6:$BZ$18,3),"0000011",$CC$6:$CC$21)</f>
        <v>6</v>
      </c>
      <c r="Q10" s="153">
        <v>19</v>
      </c>
      <c r="R10" s="153">
        <v>21</v>
      </c>
      <c r="S10" s="153">
        <v>20</v>
      </c>
      <c r="T10" s="153">
        <f t="shared" si="10"/>
        <v>21</v>
      </c>
      <c r="U10" s="153">
        <f t="shared" si="11"/>
        <v>23</v>
      </c>
      <c r="V10" s="154">
        <f>NETWORKDAYS.INTL(VLOOKUP($V$4,$BX$6:$BZ$18,2),K10,"0000011",$CC$6:$CC$21)</f>
        <v>15</v>
      </c>
      <c r="W10" s="153">
        <v>0</v>
      </c>
      <c r="X10" s="153">
        <v>0</v>
      </c>
      <c r="Y10" s="155">
        <v>0</v>
      </c>
      <c r="Z10" s="156">
        <v>5000000</v>
      </c>
      <c r="AA10" s="157">
        <f>$Z$10*N10/N5</f>
        <v>0</v>
      </c>
      <c r="AB10" s="157">
        <f t="shared" ref="AB10:AL10" si="16">$Z$10*O10/O5</f>
        <v>0</v>
      </c>
      <c r="AC10" s="158">
        <f>$Z$10*P10/P5</f>
        <v>1304347.8260869565</v>
      </c>
      <c r="AD10" s="157">
        <f t="shared" si="16"/>
        <v>4750000</v>
      </c>
      <c r="AE10" s="157">
        <f t="shared" si="16"/>
        <v>4772727.2727272725</v>
      </c>
      <c r="AF10" s="157">
        <f t="shared" si="16"/>
        <v>4545454.5454545459</v>
      </c>
      <c r="AG10" s="157">
        <f t="shared" si="16"/>
        <v>5000000</v>
      </c>
      <c r="AH10" s="157">
        <f t="shared" si="16"/>
        <v>5000000</v>
      </c>
      <c r="AI10" s="157">
        <f t="shared" si="16"/>
        <v>3260869.5652173911</v>
      </c>
      <c r="AJ10" s="157">
        <f t="shared" si="16"/>
        <v>0</v>
      </c>
      <c r="AK10" s="157">
        <f t="shared" si="16"/>
        <v>0</v>
      </c>
      <c r="AL10" s="159">
        <f t="shared" si="16"/>
        <v>0</v>
      </c>
      <c r="AM10" s="153">
        <v>0</v>
      </c>
      <c r="AN10" s="154">
        <v>0</v>
      </c>
      <c r="AO10" s="154">
        <f>NETWORKDAYS.INTL(D10,VLOOKUP($AO$4,$BX$6:$BZ$18,3),"0000011",$CC$6:$CC$21)</f>
        <v>6</v>
      </c>
      <c r="AP10" s="153">
        <f t="shared" ref="AP10" si="17">$Q$5</f>
        <v>20</v>
      </c>
      <c r="AQ10" s="153">
        <f t="shared" ref="AQ10" si="18">$R$5</f>
        <v>22</v>
      </c>
      <c r="AR10" s="153">
        <v>21</v>
      </c>
      <c r="AS10" s="153">
        <f t="shared" ref="AS10" si="19">$T$5</f>
        <v>21</v>
      </c>
      <c r="AT10" s="153">
        <f t="shared" ref="AT10" si="20">$U$5</f>
        <v>23</v>
      </c>
      <c r="AU10" s="112">
        <f>$AU$5</f>
        <v>19</v>
      </c>
      <c r="AV10" s="112">
        <f>$AV$5</f>
        <v>22</v>
      </c>
      <c r="AW10" s="161">
        <f>$AW$5</f>
        <v>22</v>
      </c>
      <c r="AX10" s="161">
        <v>20</v>
      </c>
      <c r="AY10" s="160">
        <f>VLOOKUP(B10,OT!$B$6:$BG$12,47,0)/$AY$5*L10</f>
        <v>937500</v>
      </c>
      <c r="AZ10" s="160">
        <f>VLOOKUP(B10,OT!$B$6:$BG$12,48,0)/$AZ$5*L10</f>
        <v>0</v>
      </c>
      <c r="BA10" s="160">
        <f>VLOOKUP(B10,OT!$B$6:$BG$12,48,0)/$BA$5*L10</f>
        <v>0</v>
      </c>
      <c r="BB10" s="160">
        <f>VLOOKUP(B10,OT!$B$6:$BG$12,50,0)/$BB$5*L10</f>
        <v>0</v>
      </c>
      <c r="BC10" s="160">
        <f>VLOOKUP(B10,OT!$B$6:$BG$12,51,0)/$BC$5*L10</f>
        <v>750000</v>
      </c>
      <c r="BD10" s="160">
        <f>VLOOKUP(B10,OT!$B$6:$BG$12,52,0)/$BD$5*L10</f>
        <v>0</v>
      </c>
      <c r="BE10" s="160">
        <f>VLOOKUP(B10,OT!$B$6:$BG$12,53,0)/$BE$5*L10</f>
        <v>714285.7142857142</v>
      </c>
      <c r="BF10" s="160">
        <f>VLOOKUP(B10,OT!$B$6:$BG$12,54,0)/$BF$5*L10</f>
        <v>0</v>
      </c>
      <c r="BG10" s="160">
        <f>VLOOKUP(B10,OT!$B$6:$BG$12,55,0)/$BG$5*L10</f>
        <v>0</v>
      </c>
      <c r="BH10" s="160">
        <f>VLOOKUP(B10,OT!$B$6:$BG$12,56,0)/$BH$5*L10</f>
        <v>681818.18181818188</v>
      </c>
      <c r="BI10" s="160">
        <f>VLOOKUP(B10,OT!$B$6:$BG$12,57,0)/$BI$5*L10</f>
        <v>0</v>
      </c>
      <c r="BJ10" s="160">
        <f>VLOOKUP(B10,OT!$B$6:$BG$12,58,0)/$BJ$5*L10</f>
        <v>0</v>
      </c>
      <c r="BK10" s="160">
        <f t="shared" ref="BK10:BV10" si="21">($M$10*AM10/AM6)+AA10+AY10</f>
        <v>937500</v>
      </c>
      <c r="BL10" s="160">
        <f t="shared" si="21"/>
        <v>0</v>
      </c>
      <c r="BM10" s="160">
        <f t="shared" si="21"/>
        <v>6987204.9689440988</v>
      </c>
      <c r="BN10" s="160">
        <f t="shared" si="21"/>
        <v>24640000</v>
      </c>
      <c r="BO10" s="160">
        <f t="shared" si="21"/>
        <v>27401727.272727273</v>
      </c>
      <c r="BP10" s="160">
        <f t="shared" si="21"/>
        <v>23531363.636363637</v>
      </c>
      <c r="BQ10" s="160">
        <f t="shared" si="21"/>
        <v>25604285.714285713</v>
      </c>
      <c r="BR10" s="160">
        <f t="shared" si="21"/>
        <v>24890000</v>
      </c>
      <c r="BS10" s="160">
        <f t="shared" si="21"/>
        <v>23150869.565217391</v>
      </c>
      <c r="BT10" s="160">
        <f t="shared" si="21"/>
        <v>23712344.497607656</v>
      </c>
      <c r="BU10" s="160">
        <f t="shared" si="21"/>
        <v>19890000</v>
      </c>
      <c r="BV10" s="160">
        <f t="shared" si="21"/>
        <v>20936842.105263159</v>
      </c>
      <c r="BX10" s="125">
        <v>4</v>
      </c>
      <c r="BY10" s="60">
        <v>45017</v>
      </c>
      <c r="BZ10" s="60">
        <v>45046</v>
      </c>
      <c r="CA10"/>
      <c r="CB10" s="137"/>
      <c r="CC10" s="86">
        <v>44948</v>
      </c>
      <c r="CD10"/>
    </row>
    <row r="11" spans="1:82" s="5" customFormat="1" ht="15">
      <c r="A11" s="8" t="s">
        <v>166</v>
      </c>
      <c r="B11" s="43" t="s">
        <v>295</v>
      </c>
      <c r="C11" s="9">
        <v>43866</v>
      </c>
      <c r="D11" s="9">
        <v>44970</v>
      </c>
      <c r="E11" s="9">
        <v>45500</v>
      </c>
      <c r="F11" s="43" t="s">
        <v>215</v>
      </c>
      <c r="G11" s="43" t="str">
        <f t="shared" si="2"/>
        <v>TB_OMI_001</v>
      </c>
      <c r="H11" s="43" t="s">
        <v>199</v>
      </c>
      <c r="I11" s="8" t="s">
        <v>200</v>
      </c>
      <c r="J11" s="14">
        <v>44958</v>
      </c>
      <c r="K11" s="33">
        <v>45194</v>
      </c>
      <c r="L11" s="41">
        <v>12000000</v>
      </c>
      <c r="M11" s="115">
        <v>12890000</v>
      </c>
      <c r="N11" s="11">
        <v>0</v>
      </c>
      <c r="O11" s="101">
        <f>NETWORKDAYS.INTL(J11,VLOOKUP($O$4,$BX$6:$BZ$18,3),"0000011",$CC$6:$CC$21)</f>
        <v>20</v>
      </c>
      <c r="P11" s="11">
        <f t="shared" ref="P11:P12" si="22">$P$5</f>
        <v>23</v>
      </c>
      <c r="Q11" s="11">
        <f t="shared" si="7"/>
        <v>20</v>
      </c>
      <c r="R11" s="11">
        <v>20</v>
      </c>
      <c r="S11" s="11">
        <f t="shared" si="9"/>
        <v>22</v>
      </c>
      <c r="T11" s="11">
        <f t="shared" si="10"/>
        <v>21</v>
      </c>
      <c r="U11" s="11">
        <f t="shared" si="11"/>
        <v>23</v>
      </c>
      <c r="V11" s="101">
        <f>NETWORKDAYS.INTL(VLOOKUP($V$4,$BX$6:$BZ$18,2),K11,"0000011",$CC$6:$CC$21)</f>
        <v>15</v>
      </c>
      <c r="W11" s="11">
        <v>0</v>
      </c>
      <c r="X11" s="11">
        <v>0</v>
      </c>
      <c r="Y11" s="80">
        <v>0</v>
      </c>
      <c r="Z11" s="131">
        <v>4000000</v>
      </c>
      <c r="AA11" s="134">
        <f t="shared" ref="AA11:AL11" si="23">$Z$11*N11/N5</f>
        <v>0</v>
      </c>
      <c r="AB11" s="134">
        <f t="shared" si="23"/>
        <v>4000000</v>
      </c>
      <c r="AC11" s="134">
        <f t="shared" si="23"/>
        <v>4000000</v>
      </c>
      <c r="AD11" s="134">
        <f t="shared" si="23"/>
        <v>4000000</v>
      </c>
      <c r="AE11" s="134">
        <f t="shared" si="23"/>
        <v>3636363.6363636362</v>
      </c>
      <c r="AF11" s="134">
        <f t="shared" si="23"/>
        <v>4000000</v>
      </c>
      <c r="AG11" s="134">
        <f t="shared" si="23"/>
        <v>4000000</v>
      </c>
      <c r="AH11" s="134">
        <f t="shared" si="23"/>
        <v>4000000</v>
      </c>
      <c r="AI11" s="134">
        <f t="shared" si="23"/>
        <v>2608695.6521739131</v>
      </c>
      <c r="AJ11" s="134">
        <f t="shared" si="23"/>
        <v>0</v>
      </c>
      <c r="AK11" s="134">
        <f t="shared" si="23"/>
        <v>0</v>
      </c>
      <c r="AL11" s="141">
        <f t="shared" si="23"/>
        <v>0</v>
      </c>
      <c r="AM11" s="72">
        <v>14</v>
      </c>
      <c r="AN11" s="10">
        <f>$AN$5</f>
        <v>20</v>
      </c>
      <c r="AO11" s="10">
        <v>21</v>
      </c>
      <c r="AP11" s="10">
        <f>$AP$5</f>
        <v>20</v>
      </c>
      <c r="AQ11" s="10">
        <f>$AU$5</f>
        <v>19</v>
      </c>
      <c r="AR11" s="10">
        <v>20</v>
      </c>
      <c r="AS11" s="10">
        <v>20</v>
      </c>
      <c r="AT11" s="10">
        <f>$AW$5</f>
        <v>22</v>
      </c>
      <c r="AU11" s="10">
        <f>$AU$5</f>
        <v>19</v>
      </c>
      <c r="AV11" s="10">
        <f>$AU$5</f>
        <v>19</v>
      </c>
      <c r="AW11" s="10">
        <v>20</v>
      </c>
      <c r="AX11" s="171">
        <f>$AX$5</f>
        <v>21</v>
      </c>
      <c r="AY11" s="106">
        <f>VLOOKUP(B11,OT!$B$6:$BG$12,47,0)/$AY$5*L11</f>
        <v>0</v>
      </c>
      <c r="AZ11" s="106">
        <f>VLOOKUP(B11,OT!$B$6:$BG$12,48,0)/$AZ$5*L11</f>
        <v>600000</v>
      </c>
      <c r="BA11" s="106">
        <f>VLOOKUP(B11,OT!$B$6:$BG$12,48,0)/$BA$5*L11</f>
        <v>521739.13043478259</v>
      </c>
      <c r="BB11" s="106">
        <f>VLOOKUP(B11,OT!$B$6:$BG$12,50,0)/$BB$5*L11</f>
        <v>0</v>
      </c>
      <c r="BC11" s="106">
        <f>VLOOKUP(B11,OT!$B$6:$BG$12,51,0)/$BC$5*L11</f>
        <v>0</v>
      </c>
      <c r="BD11" s="106">
        <f>VLOOKUP(B11,OT!$B$6:$BG$12,52,0)/$BD$5*L11</f>
        <v>0</v>
      </c>
      <c r="BE11" s="106">
        <f>VLOOKUP(B11,OT!$B$6:$BG$12,53,0)/$BE$5*L11</f>
        <v>0</v>
      </c>
      <c r="BF11" s="106">
        <f>VLOOKUP(B11,OT!$B$6:$BG$12,54,0)/$BF$5*L11</f>
        <v>0</v>
      </c>
      <c r="BG11" s="106">
        <f>VLOOKUP(B11,OT!$B$6:$BG$12,55,0)/$BG$5*L11</f>
        <v>0</v>
      </c>
      <c r="BH11" s="106">
        <f>VLOOKUP(B11,OT!$B$6:$BG$12,56,0)/$BH$5*L11</f>
        <v>0</v>
      </c>
      <c r="BI11" s="106">
        <f>VLOOKUP(B11,OT!$B$6:$BG$12,57,0)/$BI$5*L11</f>
        <v>0</v>
      </c>
      <c r="BJ11" s="106">
        <f>VLOOKUP(B11,OT!$B$6:$BG$12,58,0)/$BJ$5*L11</f>
        <v>0</v>
      </c>
      <c r="BK11" s="53">
        <f t="shared" ref="BK11:BV11" si="24">($M$11*AM11/AM5)+AA11+AY11</f>
        <v>11278750</v>
      </c>
      <c r="BL11" s="53">
        <f t="shared" si="24"/>
        <v>17490000</v>
      </c>
      <c r="BM11" s="53">
        <f t="shared" si="24"/>
        <v>16290869.565217393</v>
      </c>
      <c r="BN11" s="53">
        <f t="shared" si="24"/>
        <v>16890000</v>
      </c>
      <c r="BO11" s="53">
        <f t="shared" si="24"/>
        <v>15881863.636363637</v>
      </c>
      <c r="BP11" s="53">
        <f t="shared" si="24"/>
        <v>15718181.818181818</v>
      </c>
      <c r="BQ11" s="53">
        <f t="shared" si="24"/>
        <v>16276190.476190476</v>
      </c>
      <c r="BR11" s="53">
        <f t="shared" si="24"/>
        <v>16329565.217391305</v>
      </c>
      <c r="BS11" s="53">
        <f t="shared" si="24"/>
        <v>15498695.652173914</v>
      </c>
      <c r="BT11" s="53">
        <f t="shared" si="24"/>
        <v>11132272.727272727</v>
      </c>
      <c r="BU11" s="53">
        <f t="shared" si="24"/>
        <v>11718181.818181818</v>
      </c>
      <c r="BV11" s="53">
        <f t="shared" si="24"/>
        <v>12890000</v>
      </c>
      <c r="BX11" s="125">
        <v>5</v>
      </c>
      <c r="BY11" s="60">
        <v>45047</v>
      </c>
      <c r="BZ11" s="60">
        <v>45077</v>
      </c>
      <c r="CA11"/>
      <c r="CB11" s="91"/>
      <c r="CC11" s="86">
        <v>44949</v>
      </c>
    </row>
    <row r="12" spans="1:82" s="5" customFormat="1" ht="15">
      <c r="A12" s="8" t="s">
        <v>166</v>
      </c>
      <c r="B12" s="43" t="s">
        <v>296</v>
      </c>
      <c r="C12" s="9">
        <v>43867</v>
      </c>
      <c r="D12" s="9">
        <v>44970</v>
      </c>
      <c r="E12" s="9">
        <v>45501</v>
      </c>
      <c r="F12" s="43" t="s">
        <v>297</v>
      </c>
      <c r="G12" s="43" t="str">
        <f t="shared" si="2"/>
        <v>PS_GYM_001</v>
      </c>
      <c r="H12" s="43" t="s">
        <v>298</v>
      </c>
      <c r="I12" s="8" t="s">
        <v>79</v>
      </c>
      <c r="J12" s="14">
        <v>44927</v>
      </c>
      <c r="K12" s="33">
        <v>45227</v>
      </c>
      <c r="L12" s="41">
        <v>10000000</v>
      </c>
      <c r="M12" s="104">
        <v>13890000</v>
      </c>
      <c r="N12" s="101">
        <f>NETWORKDAYS.INTL(J12,VLOOKUP($N$4,$BX$6:$BZ$18,3),"0000011",$CC$6:$CC$21)</f>
        <v>16</v>
      </c>
      <c r="O12" s="101">
        <f>O5</f>
        <v>20</v>
      </c>
      <c r="P12" s="11">
        <f t="shared" si="22"/>
        <v>23</v>
      </c>
      <c r="Q12" s="11">
        <v>19</v>
      </c>
      <c r="R12" s="11">
        <v>21</v>
      </c>
      <c r="S12" s="11">
        <f t="shared" si="9"/>
        <v>22</v>
      </c>
      <c r="T12" s="11">
        <f t="shared" si="10"/>
        <v>21</v>
      </c>
      <c r="U12" s="11">
        <v>22</v>
      </c>
      <c r="V12" s="11">
        <v>23</v>
      </c>
      <c r="W12" s="101">
        <v>19</v>
      </c>
      <c r="X12" s="11">
        <v>0</v>
      </c>
      <c r="Y12" s="11">
        <v>0</v>
      </c>
      <c r="Z12" s="75">
        <v>1000000</v>
      </c>
      <c r="AA12" s="134">
        <f t="shared" ref="AA12:AL12" si="25">$Z$12*N12/N5</f>
        <v>1000000</v>
      </c>
      <c r="AB12" s="134">
        <f t="shared" si="25"/>
        <v>1000000</v>
      </c>
      <c r="AC12" s="134">
        <f t="shared" si="25"/>
        <v>1000000</v>
      </c>
      <c r="AD12" s="134">
        <f t="shared" si="25"/>
        <v>950000</v>
      </c>
      <c r="AE12" s="134">
        <f t="shared" si="25"/>
        <v>954545.45454545459</v>
      </c>
      <c r="AF12" s="134">
        <f t="shared" si="25"/>
        <v>1000000</v>
      </c>
      <c r="AG12" s="134">
        <f t="shared" si="25"/>
        <v>1000000</v>
      </c>
      <c r="AH12" s="134">
        <f t="shared" si="25"/>
        <v>956521.73913043481</v>
      </c>
      <c r="AI12" s="134">
        <f t="shared" si="25"/>
        <v>1000000</v>
      </c>
      <c r="AJ12" s="134">
        <f t="shared" si="25"/>
        <v>826086.95652173914</v>
      </c>
      <c r="AK12" s="134">
        <f t="shared" si="25"/>
        <v>0</v>
      </c>
      <c r="AL12" s="37">
        <f t="shared" si="25"/>
        <v>0</v>
      </c>
      <c r="AM12" s="72">
        <f>$AM$5</f>
        <v>16</v>
      </c>
      <c r="AN12" s="10">
        <f>$AN$5</f>
        <v>20</v>
      </c>
      <c r="AO12" s="10">
        <v>22</v>
      </c>
      <c r="AP12" s="10">
        <f>$AP$5</f>
        <v>20</v>
      </c>
      <c r="AQ12" s="10">
        <f>$AQ$5</f>
        <v>20</v>
      </c>
      <c r="AR12" s="10">
        <f>$AR$5</f>
        <v>22</v>
      </c>
      <c r="AS12" s="10">
        <f>$AS$5</f>
        <v>21</v>
      </c>
      <c r="AT12" s="10">
        <f>$AW$5</f>
        <v>22</v>
      </c>
      <c r="AU12" s="10">
        <f>$AU$5</f>
        <v>19</v>
      </c>
      <c r="AV12" s="10">
        <f>$AV$5</f>
        <v>22</v>
      </c>
      <c r="AW12" s="10">
        <f>$AW$5</f>
        <v>22</v>
      </c>
      <c r="AX12" s="74">
        <v>19</v>
      </c>
      <c r="AY12" s="106">
        <f>VLOOKUP(B12,OT!$B$6:$BG$12,47,0)/$AY$5*L12</f>
        <v>0</v>
      </c>
      <c r="AZ12" s="106">
        <f>VLOOKUP(B12,OT!$B$6:$BG$12,48,0)/$AZ$5*L12</f>
        <v>750000</v>
      </c>
      <c r="BA12" s="106">
        <f>VLOOKUP(B12,OT!$B$6:$BG$12,48,0)/$BA$5*L12</f>
        <v>652173.91304347827</v>
      </c>
      <c r="BB12" s="106">
        <f>VLOOKUP(B12,OT!$B$6:$BG$12,50,0)/$BB$5*L12</f>
        <v>0</v>
      </c>
      <c r="BC12" s="106">
        <f>VLOOKUP(B12,OT!$B$6:$BG$12,51,0)/$BC$5*L12</f>
        <v>0</v>
      </c>
      <c r="BD12" s="106">
        <f>VLOOKUP(B12,OT!$B$6:$BG$12,52,0)/$BD$5*L12</f>
        <v>0</v>
      </c>
      <c r="BE12" s="106">
        <f>VLOOKUP(B12,OT!$B$6:$BG$12,53,0)/$BE$5*L12</f>
        <v>0</v>
      </c>
      <c r="BF12" s="106">
        <f>VLOOKUP(B12,OT!$B$6:$BG$12,54,0)/$BF$5*L12</f>
        <v>652173.91304347827</v>
      </c>
      <c r="BG12" s="106">
        <f>VLOOKUP(B12,OT!$B$6:$BG$12,55,0)/$BG$5*L12</f>
        <v>0</v>
      </c>
      <c r="BH12" s="106">
        <f>VLOOKUP(B12,OT!$B$6:$BG$12,56,0)/$BH$5*L12</f>
        <v>0</v>
      </c>
      <c r="BI12" s="106">
        <f>VLOOKUP(B12,OT!$B$6:$BG$12,57,0)/$BI$5*L12</f>
        <v>0</v>
      </c>
      <c r="BJ12" s="106">
        <f>VLOOKUP(B12,OT!$B$6:$BG$12,58,0)/$BJ$5*L12</f>
        <v>0</v>
      </c>
      <c r="BK12" s="53">
        <f t="shared" ref="BK12:BV12" si="26">($M$12*AM12/AM5)+AA12+AY12</f>
        <v>14890000</v>
      </c>
      <c r="BL12" s="53">
        <f t="shared" si="26"/>
        <v>15640000</v>
      </c>
      <c r="BM12" s="53">
        <f t="shared" si="26"/>
        <v>14938260.869565217</v>
      </c>
      <c r="BN12" s="53">
        <f t="shared" si="26"/>
        <v>14840000</v>
      </c>
      <c r="BO12" s="53">
        <f t="shared" si="26"/>
        <v>14844545.454545455</v>
      </c>
      <c r="BP12" s="53">
        <f t="shared" si="26"/>
        <v>14890000</v>
      </c>
      <c r="BQ12" s="53">
        <f t="shared" si="26"/>
        <v>14890000</v>
      </c>
      <c r="BR12" s="53">
        <f t="shared" si="26"/>
        <v>14894782.608695652</v>
      </c>
      <c r="BS12" s="53">
        <f t="shared" si="26"/>
        <v>14890000</v>
      </c>
      <c r="BT12" s="53">
        <f t="shared" si="26"/>
        <v>14716086.956521738</v>
      </c>
      <c r="BU12" s="53">
        <f t="shared" si="26"/>
        <v>13890000</v>
      </c>
      <c r="BV12" s="53">
        <f t="shared" si="26"/>
        <v>12567142.857142856</v>
      </c>
      <c r="BX12" s="125">
        <v>6</v>
      </c>
      <c r="BY12" s="60">
        <v>45078</v>
      </c>
      <c r="BZ12" s="60">
        <v>45107</v>
      </c>
      <c r="CA12"/>
      <c r="CB12" s="91"/>
      <c r="CC12" s="86">
        <v>44950</v>
      </c>
    </row>
    <row r="13" spans="1:82" s="5" customFormat="1" ht="15">
      <c r="A13" s="4"/>
      <c r="B13" s="4"/>
      <c r="C13" s="4"/>
      <c r="D13" s="4"/>
      <c r="E13" s="4"/>
      <c r="F13" s="45"/>
      <c r="G13" s="45"/>
      <c r="H13" s="4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4"/>
      <c r="BL13" s="4"/>
      <c r="BM13" s="4"/>
      <c r="BN13" s="4"/>
      <c r="BO13" s="4"/>
      <c r="BP13" s="30"/>
      <c r="BQ13" s="30"/>
      <c r="BR13" s="30"/>
      <c r="BS13" s="30"/>
      <c r="BT13" s="30"/>
      <c r="BU13" s="30"/>
      <c r="BV13" s="30"/>
      <c r="BW13" s="30"/>
      <c r="BX13" s="125">
        <v>7</v>
      </c>
      <c r="BY13" s="60">
        <v>45108</v>
      </c>
      <c r="BZ13" s="60">
        <v>45138</v>
      </c>
      <c r="CA13" s="7"/>
      <c r="CB13" s="91"/>
      <c r="CC13" s="86">
        <v>44951</v>
      </c>
    </row>
    <row r="14" spans="1:82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1"/>
      <c r="BL14" s="1"/>
      <c r="BM14" s="1"/>
      <c r="BN14" s="1"/>
      <c r="BO14" s="1"/>
      <c r="BP14" s="35"/>
      <c r="BQ14" s="35"/>
      <c r="BR14" s="35"/>
      <c r="BS14" s="35"/>
      <c r="BT14" s="35"/>
      <c r="BU14" s="35"/>
      <c r="BV14" s="35"/>
      <c r="BW14" s="35"/>
      <c r="BX14" s="125">
        <v>8</v>
      </c>
      <c r="BY14" s="60">
        <v>45139</v>
      </c>
      <c r="BZ14" s="60">
        <v>45169</v>
      </c>
      <c r="CB14" s="92"/>
      <c r="CC14" s="86">
        <v>44952</v>
      </c>
    </row>
    <row r="15" spans="1:82" ht="33" customHeight="1">
      <c r="A15" s="173"/>
      <c r="B15" s="176" t="s">
        <v>275</v>
      </c>
      <c r="C15" s="177" t="s">
        <v>299</v>
      </c>
      <c r="D15" s="176" t="s">
        <v>277</v>
      </c>
      <c r="E15" s="176" t="s">
        <v>278</v>
      </c>
      <c r="F15" s="176" t="s">
        <v>279</v>
      </c>
      <c r="G15" s="176" t="s">
        <v>280</v>
      </c>
      <c r="H15" s="176" t="s">
        <v>281</v>
      </c>
      <c r="I15" s="176" t="s">
        <v>282</v>
      </c>
      <c r="J15" s="176" t="s">
        <v>283</v>
      </c>
      <c r="K15" s="176" t="s">
        <v>284</v>
      </c>
      <c r="BX15" s="20">
        <v>9</v>
      </c>
      <c r="BY15" s="60">
        <v>45170</v>
      </c>
      <c r="BZ15" s="60">
        <v>45199</v>
      </c>
      <c r="CA15" s="5"/>
      <c r="CB15" s="93" t="s">
        <v>170</v>
      </c>
      <c r="CC15" s="88">
        <v>45048</v>
      </c>
    </row>
    <row r="16" spans="1:82" ht="15">
      <c r="A16" t="s">
        <v>164</v>
      </c>
      <c r="B16" s="95">
        <f>SUM(BK6:BK8)</f>
        <v>59808750</v>
      </c>
      <c r="C16" s="95">
        <f>SUM(BL6:BL8)</f>
        <v>67790000</v>
      </c>
      <c r="D16" s="95">
        <f>SUM(BM6:BM8)</f>
        <v>64431304.347826086</v>
      </c>
      <c r="E16" s="95">
        <f>SUM(AD6:AD8)</f>
        <v>3500000</v>
      </c>
      <c r="BX16" s="20">
        <v>10</v>
      </c>
      <c r="BY16" s="60">
        <v>45200</v>
      </c>
      <c r="BZ16" s="60">
        <v>45230</v>
      </c>
      <c r="CA16" s="5"/>
      <c r="CB16" s="93" t="s">
        <v>191</v>
      </c>
      <c r="CC16" s="86">
        <v>45049</v>
      </c>
    </row>
    <row r="17" spans="1:81" ht="15">
      <c r="A17" t="s">
        <v>165</v>
      </c>
      <c r="B17" s="95">
        <f>SUM(BK9:BK10)</f>
        <v>15452500</v>
      </c>
      <c r="C17" s="95">
        <f>SUM(BL9:BL10)</f>
        <v>16520500</v>
      </c>
      <c r="BX17" s="20">
        <v>11</v>
      </c>
      <c r="BY17" s="60">
        <v>45231</v>
      </c>
      <c r="BZ17" s="60">
        <v>45260</v>
      </c>
      <c r="CA17" s="5"/>
      <c r="CB17" s="90" t="s">
        <v>192</v>
      </c>
      <c r="CC17" s="89">
        <v>45047</v>
      </c>
    </row>
    <row r="18" spans="1:81" ht="15">
      <c r="A18" t="s">
        <v>166</v>
      </c>
      <c r="BX18" s="20">
        <v>12</v>
      </c>
      <c r="BY18" s="60">
        <v>45261</v>
      </c>
      <c r="BZ18" s="60">
        <v>45291</v>
      </c>
      <c r="CA18" s="5"/>
      <c r="CB18" s="93" t="s">
        <v>195</v>
      </c>
      <c r="CC18" s="86">
        <v>45170</v>
      </c>
    </row>
    <row r="19" spans="1:81" ht="15">
      <c r="A19" t="s">
        <v>252</v>
      </c>
      <c r="BX19" s="5"/>
      <c r="BY19" s="5"/>
      <c r="BZ19" s="5"/>
      <c r="CA19" s="5"/>
      <c r="CB19" s="93"/>
      <c r="CC19" s="86">
        <v>45171</v>
      </c>
    </row>
    <row r="20" spans="1:81" ht="15">
      <c r="BX20" s="5"/>
      <c r="BY20" s="5"/>
      <c r="BZ20" s="5"/>
      <c r="CA20" s="5"/>
      <c r="CB20" s="93"/>
      <c r="CC20" s="86">
        <v>45172</v>
      </c>
    </row>
    <row r="21" spans="1:81" ht="15">
      <c r="BX21" s="5"/>
      <c r="BY21" s="5"/>
      <c r="BZ21" s="5"/>
      <c r="CA21" s="5"/>
      <c r="CB21" s="93"/>
      <c r="CC21" s="86">
        <v>45173</v>
      </c>
    </row>
  </sheetData>
  <mergeCells count="28">
    <mergeCell ref="A1:BV1"/>
    <mergeCell ref="A3:A4"/>
    <mergeCell ref="B3:B4"/>
    <mergeCell ref="C3:C4"/>
    <mergeCell ref="D3:E4"/>
    <mergeCell ref="F3:F4"/>
    <mergeCell ref="G3:G4"/>
    <mergeCell ref="H3:I4"/>
    <mergeCell ref="J3:K4"/>
    <mergeCell ref="L3:L5"/>
    <mergeCell ref="AY3:BJ3"/>
    <mergeCell ref="M3:M5"/>
    <mergeCell ref="N3:Y3"/>
    <mergeCell ref="Z3:Z5"/>
    <mergeCell ref="AA3:AL3"/>
    <mergeCell ref="AM3:AX3"/>
    <mergeCell ref="BU3:BU5"/>
    <mergeCell ref="BV3:BV5"/>
    <mergeCell ref="BL3:BL5"/>
    <mergeCell ref="BK3:BK5"/>
    <mergeCell ref="BR3:BR5"/>
    <mergeCell ref="BS3:BS5"/>
    <mergeCell ref="BT3:BT5"/>
    <mergeCell ref="BM3:BM5"/>
    <mergeCell ref="BN3:BN5"/>
    <mergeCell ref="BO3:BO5"/>
    <mergeCell ref="BP3:BP5"/>
    <mergeCell ref="BQ3:BQ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443E-2D79-4527-9699-D7D2A176EEF1}">
  <dimension ref="A1:BR21"/>
  <sheetViews>
    <sheetView topLeftCell="E1" workbookViewId="0">
      <selection activeCell="K28" sqref="K28:M32"/>
    </sheetView>
  </sheetViews>
  <sheetFormatPr defaultRowHeight="14.6"/>
  <cols>
    <col min="1" max="3" width="9.15234375" customWidth="1"/>
    <col min="4" max="4" width="11.3828125" customWidth="1"/>
    <col min="5" max="5" width="12.84375" customWidth="1"/>
    <col min="6" max="6" width="14.69140625" bestFit="1" customWidth="1"/>
    <col min="7" max="7" width="13.3046875" bestFit="1" customWidth="1"/>
    <col min="8" max="8" width="12.3046875" customWidth="1"/>
    <col min="9" max="9" width="13" bestFit="1" customWidth="1"/>
    <col min="10" max="10" width="13.69140625" customWidth="1"/>
    <col min="11" max="11" width="14.53515625" customWidth="1"/>
    <col min="12" max="12" width="14.3828125" customWidth="1"/>
    <col min="13" max="13" width="16" bestFit="1" customWidth="1"/>
    <col min="14" max="26" width="13.15234375" customWidth="1"/>
    <col min="27" max="35" width="10.69140625" bestFit="1" customWidth="1"/>
    <col min="36" max="36" width="9.15234375" bestFit="1" customWidth="1"/>
    <col min="37" max="37" width="7.3828125" customWidth="1"/>
    <col min="38" max="38" width="3.69140625" bestFit="1" customWidth="1"/>
    <col min="39" max="45" width="7.3828125" hidden="1" customWidth="1"/>
    <col min="46" max="50" width="11.3828125" customWidth="1"/>
    <col min="51" max="51" width="11.84375" bestFit="1" customWidth="1"/>
    <col min="52" max="52" width="11.3046875" customWidth="1"/>
    <col min="53" max="62" width="11.84375" bestFit="1" customWidth="1"/>
    <col min="63" max="65" width="9.15234375" customWidth="1"/>
    <col min="66" max="66" width="11.3828125" bestFit="1" customWidth="1"/>
    <col min="67" max="67" width="9.15234375" customWidth="1"/>
    <col min="68" max="68" width="34.3828125" style="138" customWidth="1"/>
    <col min="69" max="69" width="13.69140625" customWidth="1"/>
  </cols>
  <sheetData>
    <row r="1" spans="1:70" s="52" customFormat="1" ht="30.75" customHeight="1">
      <c r="A1" s="253" t="s">
        <v>304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4"/>
    </row>
    <row r="2" spans="1:70" s="52" customFormat="1" ht="30.75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51"/>
      <c r="BH2" s="51"/>
      <c r="BI2" s="51"/>
      <c r="BJ2" s="51"/>
    </row>
    <row r="3" spans="1:70" ht="15" customHeight="1">
      <c r="A3" s="280" t="s">
        <v>171</v>
      </c>
      <c r="B3" s="280" t="s">
        <v>263</v>
      </c>
      <c r="C3" s="280" t="s">
        <v>264</v>
      </c>
      <c r="D3" s="263" t="s">
        <v>265</v>
      </c>
      <c r="E3" s="263"/>
      <c r="F3" s="280" t="s">
        <v>173</v>
      </c>
      <c r="G3" s="280" t="s">
        <v>174</v>
      </c>
      <c r="H3" s="291" t="s">
        <v>266</v>
      </c>
      <c r="I3" s="292"/>
      <c r="J3" s="291" t="s">
        <v>267</v>
      </c>
      <c r="K3" s="292"/>
      <c r="L3" s="297" t="s">
        <v>268</v>
      </c>
      <c r="M3" s="297" t="s">
        <v>269</v>
      </c>
      <c r="N3" s="302" t="s">
        <v>270</v>
      </c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4"/>
      <c r="Z3" s="297" t="s">
        <v>271</v>
      </c>
      <c r="AA3" s="305" t="s">
        <v>272</v>
      </c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7" t="s">
        <v>305</v>
      </c>
      <c r="AN3" s="307"/>
      <c r="AO3" s="307"/>
      <c r="AP3" s="307"/>
      <c r="AQ3" s="307"/>
      <c r="AR3" s="307"/>
      <c r="AS3" s="307"/>
      <c r="AT3" s="307"/>
      <c r="AU3" s="307"/>
      <c r="AV3" s="307"/>
      <c r="AW3" s="307"/>
      <c r="AX3" s="307"/>
      <c r="AY3" s="290" t="s">
        <v>275</v>
      </c>
      <c r="AZ3" s="289" t="s">
        <v>276</v>
      </c>
      <c r="BA3" s="289" t="s">
        <v>277</v>
      </c>
      <c r="BB3" s="289" t="s">
        <v>278</v>
      </c>
      <c r="BC3" s="289" t="s">
        <v>279</v>
      </c>
      <c r="BD3" s="289" t="s">
        <v>280</v>
      </c>
      <c r="BE3" s="289" t="s">
        <v>281</v>
      </c>
      <c r="BF3" s="289" t="s">
        <v>282</v>
      </c>
      <c r="BG3" s="289" t="s">
        <v>283</v>
      </c>
      <c r="BH3" s="289" t="s">
        <v>284</v>
      </c>
      <c r="BI3" s="289" t="s">
        <v>285</v>
      </c>
      <c r="BJ3" s="289" t="s">
        <v>286</v>
      </c>
    </row>
    <row r="4" spans="1:70" s="5" customFormat="1">
      <c r="A4" s="274"/>
      <c r="B4" s="274"/>
      <c r="C4" s="274"/>
      <c r="D4" s="263"/>
      <c r="E4" s="263"/>
      <c r="F4" s="274"/>
      <c r="G4" s="274"/>
      <c r="H4" s="293"/>
      <c r="I4" s="294"/>
      <c r="J4" s="295"/>
      <c r="K4" s="296"/>
      <c r="L4" s="298"/>
      <c r="M4" s="298"/>
      <c r="N4" s="125">
        <v>1</v>
      </c>
      <c r="O4" s="125">
        <v>2</v>
      </c>
      <c r="P4" s="125">
        <v>3</v>
      </c>
      <c r="Q4" s="125">
        <v>4</v>
      </c>
      <c r="R4" s="125">
        <v>5</v>
      </c>
      <c r="S4" s="125">
        <v>6</v>
      </c>
      <c r="T4" s="125">
        <v>7</v>
      </c>
      <c r="U4" s="125">
        <v>8</v>
      </c>
      <c r="V4" s="125">
        <v>9</v>
      </c>
      <c r="W4" s="125">
        <v>10</v>
      </c>
      <c r="X4" s="125">
        <v>11</v>
      </c>
      <c r="Y4" s="125">
        <v>12</v>
      </c>
      <c r="Z4" s="298"/>
      <c r="AA4" s="125">
        <v>1</v>
      </c>
      <c r="AB4" s="125">
        <v>2</v>
      </c>
      <c r="AC4" s="125">
        <v>3</v>
      </c>
      <c r="AD4" s="125">
        <v>4</v>
      </c>
      <c r="AE4" s="125">
        <v>5</v>
      </c>
      <c r="AF4" s="125">
        <v>6</v>
      </c>
      <c r="AG4" s="125">
        <v>7</v>
      </c>
      <c r="AH4" s="125">
        <v>8</v>
      </c>
      <c r="AI4" s="125">
        <v>9</v>
      </c>
      <c r="AJ4" s="125">
        <v>10</v>
      </c>
      <c r="AK4" s="125">
        <v>11</v>
      </c>
      <c r="AL4" s="125">
        <v>12</v>
      </c>
      <c r="AM4" s="135">
        <v>1</v>
      </c>
      <c r="AN4" s="135">
        <v>2</v>
      </c>
      <c r="AO4" s="135">
        <v>3</v>
      </c>
      <c r="AP4" s="135">
        <v>4</v>
      </c>
      <c r="AQ4" s="135">
        <v>5</v>
      </c>
      <c r="AR4" s="135">
        <v>6</v>
      </c>
      <c r="AS4" s="135">
        <v>7</v>
      </c>
      <c r="AT4" s="135">
        <v>8</v>
      </c>
      <c r="AU4" s="135">
        <v>9</v>
      </c>
      <c r="AV4" s="135">
        <v>10</v>
      </c>
      <c r="AW4" s="135">
        <v>11</v>
      </c>
      <c r="AX4" s="136">
        <v>12</v>
      </c>
      <c r="AY4" s="289"/>
      <c r="AZ4" s="289"/>
      <c r="BA4" s="289"/>
      <c r="BB4" s="289"/>
      <c r="BC4" s="289"/>
      <c r="BD4" s="289"/>
      <c r="BE4" s="289"/>
      <c r="BF4" s="289"/>
      <c r="BG4" s="289"/>
      <c r="BH4" s="289"/>
      <c r="BI4" s="289"/>
      <c r="BJ4" s="289"/>
      <c r="BP4" s="138"/>
    </row>
    <row r="5" spans="1:70" s="124" customFormat="1">
      <c r="A5" s="32"/>
      <c r="B5" s="32"/>
      <c r="C5" s="32"/>
      <c r="D5" s="32" t="s">
        <v>287</v>
      </c>
      <c r="E5" s="32" t="s">
        <v>288</v>
      </c>
      <c r="F5" s="32"/>
      <c r="G5" s="32"/>
      <c r="H5" s="32"/>
      <c r="I5" s="32"/>
      <c r="J5" s="32" t="s">
        <v>287</v>
      </c>
      <c r="K5" s="32" t="s">
        <v>288</v>
      </c>
      <c r="L5" s="299"/>
      <c r="M5" s="299"/>
      <c r="N5" s="103">
        <f t="shared" ref="N5:Y5" si="0">NETWORKDAYS.INTL(VLOOKUP(N4,$BL$6:$BN$14,2),VLOOKUP(N4,$BL$6:$BN$14,3),"0000011",$BQ$6:$BQ$15)</f>
        <v>16</v>
      </c>
      <c r="O5" s="103">
        <f t="shared" si="0"/>
        <v>20</v>
      </c>
      <c r="P5" s="103">
        <f t="shared" si="0"/>
        <v>23</v>
      </c>
      <c r="Q5" s="103">
        <f t="shared" si="0"/>
        <v>20</v>
      </c>
      <c r="R5" s="103">
        <f t="shared" si="0"/>
        <v>22</v>
      </c>
      <c r="S5" s="103">
        <f t="shared" si="0"/>
        <v>22</v>
      </c>
      <c r="T5" s="103">
        <f t="shared" si="0"/>
        <v>21</v>
      </c>
      <c r="U5" s="103">
        <f t="shared" si="0"/>
        <v>23</v>
      </c>
      <c r="V5" s="103">
        <f t="shared" si="0"/>
        <v>23</v>
      </c>
      <c r="W5" s="103">
        <f t="shared" si="0"/>
        <v>23</v>
      </c>
      <c r="X5" s="103">
        <f t="shared" si="0"/>
        <v>23</v>
      </c>
      <c r="Y5" s="103">
        <f t="shared" si="0"/>
        <v>23</v>
      </c>
      <c r="Z5" s="299"/>
      <c r="AA5" s="103">
        <f t="shared" ref="AA5:AX5" si="1">NETWORKDAYS.INTL(VLOOKUP(AA4,$BL$6:$BN$18,2),VLOOKUP(AA4,$BL$6:$BN$18,3),"0000011",$BQ$6:$BQ$21)</f>
        <v>16</v>
      </c>
      <c r="AB5" s="103">
        <f t="shared" si="1"/>
        <v>20</v>
      </c>
      <c r="AC5" s="103">
        <f t="shared" si="1"/>
        <v>23</v>
      </c>
      <c r="AD5" s="103">
        <f t="shared" si="1"/>
        <v>20</v>
      </c>
      <c r="AE5" s="103">
        <f t="shared" si="1"/>
        <v>20</v>
      </c>
      <c r="AF5" s="103">
        <f t="shared" si="1"/>
        <v>22</v>
      </c>
      <c r="AG5" s="103">
        <f t="shared" si="1"/>
        <v>21</v>
      </c>
      <c r="AH5" s="103">
        <f t="shared" si="1"/>
        <v>23</v>
      </c>
      <c r="AI5" s="103">
        <f t="shared" si="1"/>
        <v>19</v>
      </c>
      <c r="AJ5" s="103">
        <f t="shared" si="1"/>
        <v>22</v>
      </c>
      <c r="AK5" s="103">
        <f t="shared" si="1"/>
        <v>22</v>
      </c>
      <c r="AL5" s="103">
        <f t="shared" si="1"/>
        <v>21</v>
      </c>
      <c r="AM5" s="103">
        <f t="shared" si="1"/>
        <v>16</v>
      </c>
      <c r="AN5" s="103">
        <f t="shared" si="1"/>
        <v>20</v>
      </c>
      <c r="AO5" s="103">
        <f t="shared" si="1"/>
        <v>23</v>
      </c>
      <c r="AP5" s="103">
        <f t="shared" si="1"/>
        <v>20</v>
      </c>
      <c r="AQ5" s="103">
        <f t="shared" si="1"/>
        <v>20</v>
      </c>
      <c r="AR5" s="103">
        <f t="shared" si="1"/>
        <v>22</v>
      </c>
      <c r="AS5" s="103">
        <f t="shared" si="1"/>
        <v>21</v>
      </c>
      <c r="AT5" s="103">
        <f t="shared" si="1"/>
        <v>23</v>
      </c>
      <c r="AU5" s="103">
        <f t="shared" si="1"/>
        <v>19</v>
      </c>
      <c r="AV5" s="103">
        <f t="shared" si="1"/>
        <v>22</v>
      </c>
      <c r="AW5" s="103">
        <f t="shared" si="1"/>
        <v>22</v>
      </c>
      <c r="AX5" s="127">
        <f t="shared" si="1"/>
        <v>21</v>
      </c>
      <c r="AY5" s="289"/>
      <c r="AZ5" s="289"/>
      <c r="BA5" s="289"/>
      <c r="BB5" s="289"/>
      <c r="BC5" s="289"/>
      <c r="BD5" s="289"/>
      <c r="BE5" s="289"/>
      <c r="BF5" s="289"/>
      <c r="BG5" s="289"/>
      <c r="BH5" s="289"/>
      <c r="BI5" s="289"/>
      <c r="BJ5" s="289"/>
      <c r="BP5" s="139"/>
    </row>
    <row r="6" spans="1:70" s="31" customFormat="1" ht="15.9">
      <c r="A6" s="16" t="s">
        <v>164</v>
      </c>
      <c r="B6" s="44" t="s">
        <v>289</v>
      </c>
      <c r="C6" s="50">
        <v>43862</v>
      </c>
      <c r="D6" s="9">
        <v>43862</v>
      </c>
      <c r="E6" s="9">
        <v>45649</v>
      </c>
      <c r="F6" s="44" t="s">
        <v>290</v>
      </c>
      <c r="G6" s="44" t="str">
        <f t="shared" ref="G6:G12" si="2">H6&amp;"_"&amp;F6&amp;"_"&amp;"001"</f>
        <v>FC_KGT_x000D__001</v>
      </c>
      <c r="H6" s="44" t="s">
        <v>168</v>
      </c>
      <c r="I6" s="16" t="s">
        <v>291</v>
      </c>
      <c r="J6" s="14">
        <v>44958</v>
      </c>
      <c r="K6" s="33">
        <v>45000</v>
      </c>
      <c r="L6" s="17">
        <v>20000000</v>
      </c>
      <c r="M6" s="128">
        <v>21450000</v>
      </c>
      <c r="N6" s="11">
        <v>0</v>
      </c>
      <c r="O6" s="101">
        <f>NETWORKDAYS.INTL(J6,VLOOKUP($O$4,$BL$6:$BN$18,3),"0000011",$BQ$6:$BQ$21)</f>
        <v>20</v>
      </c>
      <c r="P6" s="101">
        <f>NETWORKDAYS.INTL(K6,VLOOKUP($P$4,$BL$6:$BN$18,3),"0000011",$BQ$6:$BQ$21)</f>
        <v>13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80">
        <v>0</v>
      </c>
      <c r="Z6" s="131">
        <v>2000000</v>
      </c>
      <c r="AA6" s="134">
        <f>$Z$6*N6/N5</f>
        <v>0</v>
      </c>
      <c r="AB6" s="134">
        <f>$Z$6*O6/O5</f>
        <v>2000000</v>
      </c>
      <c r="AC6" s="134">
        <f t="shared" ref="AC6:AL6" si="3">$Z$6*P6/P5</f>
        <v>1130434.7826086956</v>
      </c>
      <c r="AD6" s="134">
        <f t="shared" si="3"/>
        <v>0</v>
      </c>
      <c r="AE6" s="134">
        <f t="shared" si="3"/>
        <v>0</v>
      </c>
      <c r="AF6" s="134">
        <f t="shared" si="3"/>
        <v>0</v>
      </c>
      <c r="AG6" s="134">
        <f t="shared" si="3"/>
        <v>0</v>
      </c>
      <c r="AH6" s="134">
        <f t="shared" si="3"/>
        <v>0</v>
      </c>
      <c r="AI6" s="134">
        <f t="shared" si="3"/>
        <v>0</v>
      </c>
      <c r="AJ6" s="134">
        <f t="shared" si="3"/>
        <v>0</v>
      </c>
      <c r="AK6" s="134">
        <f t="shared" si="3"/>
        <v>0</v>
      </c>
      <c r="AL6" s="37">
        <f t="shared" si="3"/>
        <v>0</v>
      </c>
      <c r="AM6" s="130">
        <f>$AM$5</f>
        <v>16</v>
      </c>
      <c r="AN6" s="130">
        <f>$AN$5</f>
        <v>20</v>
      </c>
      <c r="AO6" s="130">
        <f>$AO$5</f>
        <v>23</v>
      </c>
      <c r="AP6" s="130">
        <f>$AP$5</f>
        <v>20</v>
      </c>
      <c r="AQ6" s="130">
        <f>$AQ$5</f>
        <v>20</v>
      </c>
      <c r="AR6" s="130">
        <f>$AR$5</f>
        <v>22</v>
      </c>
      <c r="AS6" s="130">
        <f>$AS$5</f>
        <v>21</v>
      </c>
      <c r="AT6" s="130">
        <f>$AT$5</f>
        <v>23</v>
      </c>
      <c r="AU6" s="130">
        <f>$AU$5</f>
        <v>19</v>
      </c>
      <c r="AV6" s="130">
        <f>$AV$5</f>
        <v>22</v>
      </c>
      <c r="AW6" s="130">
        <f>$AW$5</f>
        <v>22</v>
      </c>
      <c r="AX6" s="130">
        <f>$AX$5</f>
        <v>21</v>
      </c>
      <c r="AY6" s="53">
        <f t="shared" ref="AY6:BJ6" si="4">($M$6*AM6/AM5)+AA6</f>
        <v>21450000</v>
      </c>
      <c r="AZ6" s="53">
        <f t="shared" si="4"/>
        <v>23450000</v>
      </c>
      <c r="BA6" s="53">
        <f t="shared" si="4"/>
        <v>22580434.782608695</v>
      </c>
      <c r="BB6" s="53">
        <f t="shared" si="4"/>
        <v>21450000</v>
      </c>
      <c r="BC6" s="53">
        <f t="shared" si="4"/>
        <v>21450000</v>
      </c>
      <c r="BD6" s="53">
        <f t="shared" si="4"/>
        <v>21450000</v>
      </c>
      <c r="BE6" s="53">
        <f t="shared" si="4"/>
        <v>21450000</v>
      </c>
      <c r="BF6" s="53">
        <f t="shared" si="4"/>
        <v>21450000</v>
      </c>
      <c r="BG6" s="53">
        <f t="shared" si="4"/>
        <v>21450000</v>
      </c>
      <c r="BH6" s="53">
        <f t="shared" si="4"/>
        <v>21450000</v>
      </c>
      <c r="BI6" s="53">
        <f t="shared" si="4"/>
        <v>21450000</v>
      </c>
      <c r="BJ6" s="53">
        <f t="shared" si="4"/>
        <v>21450000</v>
      </c>
      <c r="BL6" s="125">
        <v>1</v>
      </c>
      <c r="BM6" s="60">
        <v>44927</v>
      </c>
      <c r="BN6" s="60">
        <v>44957</v>
      </c>
      <c r="BO6"/>
      <c r="BP6" s="184" t="s">
        <v>149</v>
      </c>
      <c r="BQ6" s="183">
        <v>44928</v>
      </c>
      <c r="BR6"/>
    </row>
    <row r="7" spans="1:70" s="31" customFormat="1" ht="15.9">
      <c r="A7" s="10" t="s">
        <v>164</v>
      </c>
      <c r="B7" s="71" t="s">
        <v>292</v>
      </c>
      <c r="C7" s="14">
        <v>43863</v>
      </c>
      <c r="D7" s="14">
        <v>45050</v>
      </c>
      <c r="E7" s="9">
        <v>45497</v>
      </c>
      <c r="F7" s="71" t="s">
        <v>290</v>
      </c>
      <c r="G7" s="71" t="str">
        <f t="shared" si="2"/>
        <v>FC_KGT_x000D__001</v>
      </c>
      <c r="H7" s="71" t="s">
        <v>168</v>
      </c>
      <c r="I7" s="10" t="s">
        <v>291</v>
      </c>
      <c r="J7" s="14">
        <v>44958</v>
      </c>
      <c r="K7" s="33">
        <v>45194</v>
      </c>
      <c r="L7" s="42">
        <v>26000000</v>
      </c>
      <c r="M7" s="128">
        <v>28000000</v>
      </c>
      <c r="N7" s="11">
        <v>0</v>
      </c>
      <c r="O7" s="101">
        <f>NETWORKDAYS.INTL(J7,VLOOKUP($O$4,$BL$6:$BN$18,3),"0000011",$BQ$6:$BQ$21)</f>
        <v>20</v>
      </c>
      <c r="P7" s="11">
        <f>$P$5</f>
        <v>23</v>
      </c>
      <c r="Q7" s="11">
        <f>$Q$5</f>
        <v>20</v>
      </c>
      <c r="R7" s="11">
        <f>$R$5</f>
        <v>22</v>
      </c>
      <c r="S7" s="11">
        <f>$S$5</f>
        <v>22</v>
      </c>
      <c r="T7" s="11">
        <f>$T$5</f>
        <v>21</v>
      </c>
      <c r="U7" s="11">
        <f>$U$5</f>
        <v>23</v>
      </c>
      <c r="V7" s="101">
        <f>NETWORKDAYS.INTL(VLOOKUP($V$4,$BL$6:$BN$18,2),K7,"0000011",$BQ$6:$BQ$21)</f>
        <v>15</v>
      </c>
      <c r="W7" s="11">
        <v>0</v>
      </c>
      <c r="X7" s="11">
        <v>0</v>
      </c>
      <c r="Y7" s="80">
        <v>0</v>
      </c>
      <c r="Z7" s="75">
        <v>2500000</v>
      </c>
      <c r="AA7" s="134">
        <f t="shared" ref="AA7:AL7" si="5">$Z$7*N7/N5</f>
        <v>0</v>
      </c>
      <c r="AB7" s="134">
        <f t="shared" si="5"/>
        <v>2500000</v>
      </c>
      <c r="AC7" s="134">
        <f t="shared" si="5"/>
        <v>2500000</v>
      </c>
      <c r="AD7" s="134">
        <f t="shared" si="5"/>
        <v>2500000</v>
      </c>
      <c r="AE7" s="134">
        <f t="shared" si="5"/>
        <v>2500000</v>
      </c>
      <c r="AF7" s="134">
        <f t="shared" si="5"/>
        <v>2500000</v>
      </c>
      <c r="AG7" s="134">
        <f t="shared" si="5"/>
        <v>2500000</v>
      </c>
      <c r="AH7" s="134">
        <f t="shared" si="5"/>
        <v>2500000</v>
      </c>
      <c r="AI7" s="134">
        <f t="shared" si="5"/>
        <v>1630434.7826086956</v>
      </c>
      <c r="AJ7" s="134">
        <f t="shared" si="5"/>
        <v>0</v>
      </c>
      <c r="AK7" s="134">
        <f t="shared" si="5"/>
        <v>0</v>
      </c>
      <c r="AL7" s="37">
        <f t="shared" si="5"/>
        <v>0</v>
      </c>
      <c r="AM7" s="72">
        <f>$AM$5</f>
        <v>16</v>
      </c>
      <c r="AN7" s="10">
        <f>$AN$5</f>
        <v>20</v>
      </c>
      <c r="AO7" s="10">
        <f>$AO$5</f>
        <v>23</v>
      </c>
      <c r="AP7" s="10">
        <f>$AP$5</f>
        <v>20</v>
      </c>
      <c r="AQ7" s="10">
        <f>$AQ$5</f>
        <v>20</v>
      </c>
      <c r="AR7" s="10">
        <f>$AR$5</f>
        <v>22</v>
      </c>
      <c r="AS7" s="10">
        <f>$AS$5</f>
        <v>21</v>
      </c>
      <c r="AT7" s="10">
        <f>$AT$5</f>
        <v>23</v>
      </c>
      <c r="AU7" s="10">
        <f>$AU$5</f>
        <v>19</v>
      </c>
      <c r="AV7" s="10">
        <f>$AV$5</f>
        <v>22</v>
      </c>
      <c r="AW7" s="10">
        <f>$AW$5</f>
        <v>22</v>
      </c>
      <c r="AX7" s="10">
        <f>$AX$5</f>
        <v>21</v>
      </c>
      <c r="AY7" s="53">
        <f t="shared" ref="AY7:BJ7" si="6">($M$7*AM7/AM5)+AA7</f>
        <v>28000000</v>
      </c>
      <c r="AZ7" s="53">
        <f t="shared" si="6"/>
        <v>30500000</v>
      </c>
      <c r="BA7" s="53">
        <f t="shared" si="6"/>
        <v>30500000</v>
      </c>
      <c r="BB7" s="53">
        <f t="shared" si="6"/>
        <v>30500000</v>
      </c>
      <c r="BC7" s="53">
        <f t="shared" si="6"/>
        <v>30500000</v>
      </c>
      <c r="BD7" s="53">
        <f t="shared" si="6"/>
        <v>30500000</v>
      </c>
      <c r="BE7" s="53">
        <f t="shared" si="6"/>
        <v>30500000</v>
      </c>
      <c r="BF7" s="53">
        <f t="shared" si="6"/>
        <v>30500000</v>
      </c>
      <c r="BG7" s="53">
        <f t="shared" si="6"/>
        <v>29630434.782608695</v>
      </c>
      <c r="BH7" s="53">
        <f t="shared" si="6"/>
        <v>28000000</v>
      </c>
      <c r="BI7" s="53">
        <f t="shared" si="6"/>
        <v>28000000</v>
      </c>
      <c r="BJ7" s="53">
        <f t="shared" si="6"/>
        <v>28000000</v>
      </c>
      <c r="BL7" s="125">
        <v>2</v>
      </c>
      <c r="BM7" s="60">
        <v>44958</v>
      </c>
      <c r="BN7" s="60">
        <v>44985</v>
      </c>
      <c r="BO7"/>
      <c r="BP7" s="184" t="s">
        <v>163</v>
      </c>
      <c r="BQ7" s="183">
        <v>44946</v>
      </c>
      <c r="BR7"/>
    </row>
    <row r="8" spans="1:70" s="31" customFormat="1" ht="15.9">
      <c r="A8" s="8" t="s">
        <v>164</v>
      </c>
      <c r="B8" s="43" t="s">
        <v>293</v>
      </c>
      <c r="C8" s="9">
        <v>43864</v>
      </c>
      <c r="D8" s="9">
        <v>44927</v>
      </c>
      <c r="E8" s="9">
        <v>45498</v>
      </c>
      <c r="F8" s="43" t="s">
        <v>290</v>
      </c>
      <c r="G8" s="43" t="str">
        <f t="shared" si="2"/>
        <v>FC_KGT_x000D__001</v>
      </c>
      <c r="H8" s="43" t="s">
        <v>168</v>
      </c>
      <c r="I8" s="8" t="s">
        <v>291</v>
      </c>
      <c r="J8" s="14">
        <v>44958</v>
      </c>
      <c r="K8" s="33">
        <v>45194</v>
      </c>
      <c r="L8" s="18">
        <v>10000000</v>
      </c>
      <c r="M8" s="129">
        <v>10890000</v>
      </c>
      <c r="N8" s="11">
        <v>0</v>
      </c>
      <c r="O8" s="101">
        <f>NETWORKDAYS.INTL(J8,VLOOKUP($O$4,$BL$6:$BN$18,3),"0000011",$BQ$6:$BQ$21)</f>
        <v>20</v>
      </c>
      <c r="P8" s="11">
        <f t="shared" ref="P8:P12" si="7">$P$5</f>
        <v>23</v>
      </c>
      <c r="Q8" s="11">
        <f t="shared" ref="Q8:Q12" si="8">$Q$5</f>
        <v>20</v>
      </c>
      <c r="R8" s="11">
        <f t="shared" ref="R8:R12" si="9">$R$5</f>
        <v>22</v>
      </c>
      <c r="S8" s="11">
        <f t="shared" ref="S8:S12" si="10">$S$5</f>
        <v>22</v>
      </c>
      <c r="T8" s="11">
        <f t="shared" ref="T8:T12" si="11">$T$5</f>
        <v>21</v>
      </c>
      <c r="U8" s="11">
        <f t="shared" ref="U8:U12" si="12">$U$5</f>
        <v>23</v>
      </c>
      <c r="V8" s="101">
        <f>NETWORKDAYS.INTL(VLOOKUP($V$4,$BL$6:$BN$18,2),K8,"0000011",$BQ$6:$BQ$21)</f>
        <v>15</v>
      </c>
      <c r="W8" s="11">
        <v>0</v>
      </c>
      <c r="X8" s="11">
        <v>0</v>
      </c>
      <c r="Y8" s="80">
        <v>0</v>
      </c>
      <c r="Z8" s="75">
        <v>1000000</v>
      </c>
      <c r="AA8" s="134">
        <f t="shared" ref="AA8:AL8" si="13">$Z$8*N8/N5</f>
        <v>0</v>
      </c>
      <c r="AB8" s="134">
        <f t="shared" si="13"/>
        <v>1000000</v>
      </c>
      <c r="AC8" s="134">
        <f t="shared" si="13"/>
        <v>1000000</v>
      </c>
      <c r="AD8" s="134">
        <f t="shared" si="13"/>
        <v>1000000</v>
      </c>
      <c r="AE8" s="134">
        <f t="shared" si="13"/>
        <v>1000000</v>
      </c>
      <c r="AF8" s="134">
        <f t="shared" si="13"/>
        <v>1000000</v>
      </c>
      <c r="AG8" s="134">
        <f t="shared" si="13"/>
        <v>1000000</v>
      </c>
      <c r="AH8" s="134">
        <f t="shared" si="13"/>
        <v>1000000</v>
      </c>
      <c r="AI8" s="134">
        <f t="shared" si="13"/>
        <v>652173.91304347827</v>
      </c>
      <c r="AJ8" s="134">
        <f t="shared" si="13"/>
        <v>0</v>
      </c>
      <c r="AK8" s="134">
        <f t="shared" si="13"/>
        <v>0</v>
      </c>
      <c r="AL8" s="140">
        <f t="shared" si="13"/>
        <v>0</v>
      </c>
      <c r="AM8" s="72">
        <f>$AM$5</f>
        <v>16</v>
      </c>
      <c r="AN8" s="10">
        <f>$AN$5</f>
        <v>20</v>
      </c>
      <c r="AO8" s="10">
        <f>$AO$5</f>
        <v>23</v>
      </c>
      <c r="AP8" s="10">
        <f>$AP$5</f>
        <v>20</v>
      </c>
      <c r="AQ8" s="10">
        <f>$AQ$5</f>
        <v>20</v>
      </c>
      <c r="AR8" s="10">
        <f>$AR$5</f>
        <v>22</v>
      </c>
      <c r="AS8" s="10">
        <f>$AS$5</f>
        <v>21</v>
      </c>
      <c r="AT8" s="10">
        <f>$AT$5</f>
        <v>23</v>
      </c>
      <c r="AU8" s="10">
        <f>$AU$5</f>
        <v>19</v>
      </c>
      <c r="AV8" s="10">
        <f>$AV$5</f>
        <v>22</v>
      </c>
      <c r="AW8" s="10">
        <f>$AW$5</f>
        <v>22</v>
      </c>
      <c r="AX8" s="70">
        <f>$AX$5</f>
        <v>21</v>
      </c>
      <c r="AY8" s="142">
        <f t="shared" ref="AY8:BJ8" si="14">($M$8*AM8/AM5)+AA8</f>
        <v>10890000</v>
      </c>
      <c r="AZ8" s="142">
        <f t="shared" si="14"/>
        <v>11890000</v>
      </c>
      <c r="BA8" s="142">
        <f t="shared" si="14"/>
        <v>11890000</v>
      </c>
      <c r="BB8" s="142">
        <f t="shared" si="14"/>
        <v>11890000</v>
      </c>
      <c r="BC8" s="142">
        <f t="shared" si="14"/>
        <v>11890000</v>
      </c>
      <c r="BD8" s="142">
        <f t="shared" si="14"/>
        <v>11890000</v>
      </c>
      <c r="BE8" s="142">
        <f t="shared" si="14"/>
        <v>11890000</v>
      </c>
      <c r="BF8" s="142">
        <f t="shared" si="14"/>
        <v>11890000</v>
      </c>
      <c r="BG8" s="142">
        <f t="shared" si="14"/>
        <v>11542173.913043479</v>
      </c>
      <c r="BH8" s="142">
        <f t="shared" si="14"/>
        <v>10890000</v>
      </c>
      <c r="BI8" s="142">
        <f t="shared" si="14"/>
        <v>10890000</v>
      </c>
      <c r="BJ8" s="142">
        <f t="shared" si="14"/>
        <v>10890000</v>
      </c>
      <c r="BL8" s="125">
        <v>3</v>
      </c>
      <c r="BM8" s="60">
        <v>44986</v>
      </c>
      <c r="BN8" s="60">
        <v>45016</v>
      </c>
      <c r="BO8"/>
      <c r="BP8" s="185"/>
      <c r="BQ8" s="183">
        <v>44947</v>
      </c>
      <c r="BR8"/>
    </row>
    <row r="9" spans="1:70" s="5" customFormat="1" ht="15.9">
      <c r="A9" s="144" t="s">
        <v>165</v>
      </c>
      <c r="B9" s="145" t="s">
        <v>294</v>
      </c>
      <c r="C9" s="146">
        <v>43865</v>
      </c>
      <c r="D9" s="147">
        <v>43862</v>
      </c>
      <c r="E9" s="147">
        <v>45008</v>
      </c>
      <c r="F9" s="148" t="s">
        <v>211</v>
      </c>
      <c r="G9" s="148" t="str">
        <f t="shared" si="2"/>
        <v>TB_BKT_001</v>
      </c>
      <c r="H9" s="148" t="s">
        <v>199</v>
      </c>
      <c r="I9" s="144" t="s">
        <v>200</v>
      </c>
      <c r="J9" s="149">
        <v>44958</v>
      </c>
      <c r="K9" s="150">
        <v>45194</v>
      </c>
      <c r="L9" s="151">
        <v>10000000</v>
      </c>
      <c r="M9" s="152">
        <v>13890000</v>
      </c>
      <c r="N9" s="153">
        <v>0</v>
      </c>
      <c r="O9" s="154">
        <f>NETWORKDAYS.INTL(J9,VLOOKUP($O$4,$BL$6:$BN$18,3),"0000011",$BQ$6:$BQ$21)</f>
        <v>20</v>
      </c>
      <c r="P9" s="154">
        <f>NETWORKDAYS.INTL(VLOOKUP($P$4,$BL$6:$BN$18,2),E9,"0000011",$BQ$6:$BQ$21)</f>
        <v>17</v>
      </c>
      <c r="Q9" s="153">
        <v>0</v>
      </c>
      <c r="R9" s="153">
        <v>0</v>
      </c>
      <c r="S9" s="153">
        <v>0</v>
      </c>
      <c r="T9" s="153">
        <v>0</v>
      </c>
      <c r="U9" s="153">
        <v>0</v>
      </c>
      <c r="V9" s="153">
        <v>0</v>
      </c>
      <c r="W9" s="153">
        <v>0</v>
      </c>
      <c r="X9" s="153">
        <v>0</v>
      </c>
      <c r="Y9" s="155">
        <v>0</v>
      </c>
      <c r="Z9" s="156">
        <v>3500000</v>
      </c>
      <c r="AA9" s="157">
        <f t="shared" ref="AA9:AL9" si="15">$Z$9*N9/N5</f>
        <v>0</v>
      </c>
      <c r="AB9" s="157">
        <f t="shared" si="15"/>
        <v>3500000</v>
      </c>
      <c r="AC9" s="158">
        <f t="shared" si="15"/>
        <v>2586956.5217391304</v>
      </c>
      <c r="AD9" s="157">
        <f t="shared" si="15"/>
        <v>0</v>
      </c>
      <c r="AE9" s="157">
        <f t="shared" si="15"/>
        <v>0</v>
      </c>
      <c r="AF9" s="157">
        <f t="shared" si="15"/>
        <v>0</v>
      </c>
      <c r="AG9" s="157">
        <f t="shared" si="15"/>
        <v>0</v>
      </c>
      <c r="AH9" s="157">
        <f t="shared" si="15"/>
        <v>0</v>
      </c>
      <c r="AI9" s="157">
        <f t="shared" si="15"/>
        <v>0</v>
      </c>
      <c r="AJ9" s="157">
        <f t="shared" si="15"/>
        <v>0</v>
      </c>
      <c r="AK9" s="157">
        <f t="shared" si="15"/>
        <v>0</v>
      </c>
      <c r="AL9" s="159">
        <f t="shared" si="15"/>
        <v>0</v>
      </c>
      <c r="AM9" s="153">
        <v>0</v>
      </c>
      <c r="AN9" s="112">
        <f>$AN$5</f>
        <v>20</v>
      </c>
      <c r="AO9" s="154">
        <f>NETWORKDAYS.INTL(VLOOKUP($AO$4,$BL$6:$BN$18,2),E9,"0000011",$BQ$6:$BQ$21)</f>
        <v>17</v>
      </c>
      <c r="AP9" s="153">
        <v>0</v>
      </c>
      <c r="AQ9" s="153">
        <v>0</v>
      </c>
      <c r="AR9" s="153">
        <v>0</v>
      </c>
      <c r="AS9" s="153">
        <v>0</v>
      </c>
      <c r="AT9" s="153">
        <v>0</v>
      </c>
      <c r="AU9" s="153">
        <v>0</v>
      </c>
      <c r="AV9" s="153">
        <v>0</v>
      </c>
      <c r="AW9" s="155">
        <v>0</v>
      </c>
      <c r="AX9" s="153">
        <v>0</v>
      </c>
      <c r="AY9" s="160">
        <f t="shared" ref="AY9:BJ10" si="16">($M$9*AM9/AM5)+AA9</f>
        <v>0</v>
      </c>
      <c r="AZ9" s="160">
        <f t="shared" si="16"/>
        <v>17390000</v>
      </c>
      <c r="BA9" s="160">
        <f t="shared" si="16"/>
        <v>12853478.260869566</v>
      </c>
      <c r="BB9" s="160">
        <f t="shared" si="16"/>
        <v>0</v>
      </c>
      <c r="BC9" s="160">
        <f t="shared" si="16"/>
        <v>0</v>
      </c>
      <c r="BD9" s="160">
        <f t="shared" si="16"/>
        <v>0</v>
      </c>
      <c r="BE9" s="160">
        <f t="shared" si="16"/>
        <v>0</v>
      </c>
      <c r="BF9" s="160">
        <f t="shared" si="16"/>
        <v>0</v>
      </c>
      <c r="BG9" s="160">
        <f t="shared" si="16"/>
        <v>0</v>
      </c>
      <c r="BH9" s="160">
        <f t="shared" si="16"/>
        <v>0</v>
      </c>
      <c r="BI9" s="160">
        <f t="shared" si="16"/>
        <v>0</v>
      </c>
      <c r="BJ9" s="160">
        <f t="shared" si="16"/>
        <v>0</v>
      </c>
      <c r="BL9" s="125">
        <v>4</v>
      </c>
      <c r="BM9" s="60">
        <v>45017</v>
      </c>
      <c r="BN9" s="60">
        <v>45046</v>
      </c>
      <c r="BO9"/>
      <c r="BP9" s="185"/>
      <c r="BQ9" s="183">
        <v>44948</v>
      </c>
      <c r="BR9"/>
    </row>
    <row r="10" spans="1:70" s="5" customFormat="1" ht="15.9">
      <c r="A10" s="144" t="s">
        <v>165</v>
      </c>
      <c r="B10" s="145" t="s">
        <v>294</v>
      </c>
      <c r="C10" s="146">
        <v>43865</v>
      </c>
      <c r="D10" s="147">
        <v>45009</v>
      </c>
      <c r="E10" s="147">
        <v>45375</v>
      </c>
      <c r="F10" s="148" t="s">
        <v>211</v>
      </c>
      <c r="G10" s="148" t="str">
        <f t="shared" si="2"/>
        <v>TB_BKT_001</v>
      </c>
      <c r="H10" s="148" t="s">
        <v>199</v>
      </c>
      <c r="I10" s="144" t="s">
        <v>200</v>
      </c>
      <c r="J10" s="149">
        <v>44958</v>
      </c>
      <c r="K10" s="150">
        <v>45194</v>
      </c>
      <c r="L10" s="151">
        <v>15000000</v>
      </c>
      <c r="M10" s="152">
        <v>19890000</v>
      </c>
      <c r="N10" s="153">
        <v>0</v>
      </c>
      <c r="O10" s="154">
        <v>0</v>
      </c>
      <c r="P10" s="154">
        <f>NETWORKDAYS.INTL(D10,VLOOKUP($P$4,$BL$6:$BN$18,3),"0000011",$BQ$6:$BQ$21)</f>
        <v>6</v>
      </c>
      <c r="Q10" s="153">
        <f t="shared" si="8"/>
        <v>20</v>
      </c>
      <c r="R10" s="153">
        <f t="shared" si="9"/>
        <v>22</v>
      </c>
      <c r="S10" s="153">
        <f t="shared" si="10"/>
        <v>22</v>
      </c>
      <c r="T10" s="153">
        <f t="shared" si="11"/>
        <v>21</v>
      </c>
      <c r="U10" s="153">
        <f t="shared" si="12"/>
        <v>23</v>
      </c>
      <c r="V10" s="154">
        <f>NETWORKDAYS.INTL(VLOOKUP($V$4,$BL$6:$BN$18,2),K10,"0000011",$BQ$6:$BQ$21)</f>
        <v>15</v>
      </c>
      <c r="W10" s="153">
        <v>0</v>
      </c>
      <c r="X10" s="153">
        <v>0</v>
      </c>
      <c r="Y10" s="155">
        <v>0</v>
      </c>
      <c r="Z10" s="156">
        <v>3500000</v>
      </c>
      <c r="AA10" s="157">
        <f>$Z$10*N10/N5</f>
        <v>0</v>
      </c>
      <c r="AB10" s="157">
        <f t="shared" ref="AB10:AL10" si="17">$Z$10*O10/O5</f>
        <v>0</v>
      </c>
      <c r="AC10" s="158">
        <f t="shared" si="17"/>
        <v>913043.47826086951</v>
      </c>
      <c r="AD10" s="157">
        <f t="shared" si="17"/>
        <v>3500000</v>
      </c>
      <c r="AE10" s="157">
        <f t="shared" si="17"/>
        <v>3500000</v>
      </c>
      <c r="AF10" s="157">
        <f t="shared" si="17"/>
        <v>3500000</v>
      </c>
      <c r="AG10" s="157">
        <f t="shared" si="17"/>
        <v>3500000</v>
      </c>
      <c r="AH10" s="157">
        <f t="shared" si="17"/>
        <v>3500000</v>
      </c>
      <c r="AI10" s="157">
        <f t="shared" si="17"/>
        <v>2282608.6956521738</v>
      </c>
      <c r="AJ10" s="157">
        <f t="shared" si="17"/>
        <v>0</v>
      </c>
      <c r="AK10" s="157">
        <f t="shared" si="17"/>
        <v>0</v>
      </c>
      <c r="AL10" s="159">
        <f t="shared" si="17"/>
        <v>0</v>
      </c>
      <c r="AM10" s="153">
        <v>0</v>
      </c>
      <c r="AN10" s="154">
        <v>0</v>
      </c>
      <c r="AO10" s="154">
        <f>NETWORKDAYS.INTL(D10,VLOOKUP($AO$4,$BL$6:$BN$18,3),"0000011",$BQ$6:$BQ$21)</f>
        <v>6</v>
      </c>
      <c r="AP10" s="153">
        <f t="shared" ref="AP10" si="18">$Q$5</f>
        <v>20</v>
      </c>
      <c r="AQ10" s="153">
        <f t="shared" ref="AQ10" si="19">$R$5</f>
        <v>22</v>
      </c>
      <c r="AR10" s="153">
        <f t="shared" ref="AR10" si="20">$S$5</f>
        <v>22</v>
      </c>
      <c r="AS10" s="153">
        <f t="shared" ref="AS10" si="21">$T$5</f>
        <v>21</v>
      </c>
      <c r="AT10" s="153">
        <f t="shared" ref="AT10" si="22">$U$5</f>
        <v>23</v>
      </c>
      <c r="AU10" s="112">
        <f>$AU$5</f>
        <v>19</v>
      </c>
      <c r="AV10" s="112">
        <f>$AV$5</f>
        <v>22</v>
      </c>
      <c r="AW10" s="161">
        <f>$AW$5</f>
        <v>22</v>
      </c>
      <c r="AX10" s="112">
        <f>$AX$5</f>
        <v>21</v>
      </c>
      <c r="AY10" s="160">
        <f t="shared" si="16"/>
        <v>0</v>
      </c>
      <c r="AZ10" s="160">
        <f t="shared" si="16"/>
        <v>0</v>
      </c>
      <c r="BA10" s="160">
        <f t="shared" si="16"/>
        <v>4536521.7391304346</v>
      </c>
      <c r="BB10" s="160">
        <f t="shared" si="16"/>
        <v>17390000</v>
      </c>
      <c r="BC10" s="160">
        <f t="shared" si="16"/>
        <v>18779000</v>
      </c>
      <c r="BD10" s="160">
        <f t="shared" si="16"/>
        <v>17390000</v>
      </c>
      <c r="BE10" s="160">
        <f t="shared" si="16"/>
        <v>17390000</v>
      </c>
      <c r="BF10" s="160">
        <f t="shared" si="16"/>
        <v>17390000</v>
      </c>
      <c r="BG10" s="160">
        <f t="shared" si="16"/>
        <v>16172608.695652174</v>
      </c>
      <c r="BH10" s="160">
        <f t="shared" si="16"/>
        <v>13890000</v>
      </c>
      <c r="BI10" s="160">
        <f t="shared" si="16"/>
        <v>13890000</v>
      </c>
      <c r="BJ10" s="160">
        <f t="shared" si="16"/>
        <v>13890000</v>
      </c>
      <c r="BL10" s="125">
        <v>4</v>
      </c>
      <c r="BM10" s="60">
        <v>45017</v>
      </c>
      <c r="BN10" s="60">
        <v>45046</v>
      </c>
      <c r="BO10"/>
      <c r="BP10" s="186"/>
      <c r="BQ10" s="183">
        <v>44948</v>
      </c>
      <c r="BR10"/>
    </row>
    <row r="11" spans="1:70" s="5" customFormat="1" ht="15.9">
      <c r="A11" s="8" t="s">
        <v>166</v>
      </c>
      <c r="B11" s="43" t="s">
        <v>295</v>
      </c>
      <c r="C11" s="9">
        <v>43866</v>
      </c>
      <c r="D11" s="9">
        <v>44970</v>
      </c>
      <c r="E11" s="9">
        <v>45500</v>
      </c>
      <c r="F11" s="43" t="s">
        <v>215</v>
      </c>
      <c r="G11" s="43" t="str">
        <f t="shared" si="2"/>
        <v>TB_OMI_001</v>
      </c>
      <c r="H11" s="43" t="s">
        <v>199</v>
      </c>
      <c r="I11" s="8" t="s">
        <v>200</v>
      </c>
      <c r="J11" s="14">
        <v>44958</v>
      </c>
      <c r="K11" s="33">
        <v>45194</v>
      </c>
      <c r="L11" s="41">
        <v>12000000</v>
      </c>
      <c r="M11" s="115">
        <v>12890000</v>
      </c>
      <c r="N11" s="11">
        <v>0</v>
      </c>
      <c r="O11" s="101">
        <f>NETWORKDAYS.INTL(J11,VLOOKUP($O$4,$BL$6:$BN$18,3),"0000011",$BQ$6:$BQ$21)</f>
        <v>20</v>
      </c>
      <c r="P11" s="11">
        <f t="shared" si="7"/>
        <v>23</v>
      </c>
      <c r="Q11" s="11">
        <f t="shared" si="8"/>
        <v>20</v>
      </c>
      <c r="R11" s="11">
        <f t="shared" si="9"/>
        <v>22</v>
      </c>
      <c r="S11" s="11">
        <f t="shared" si="10"/>
        <v>22</v>
      </c>
      <c r="T11" s="11">
        <f t="shared" si="11"/>
        <v>21</v>
      </c>
      <c r="U11" s="11">
        <f t="shared" si="12"/>
        <v>23</v>
      </c>
      <c r="V11" s="101">
        <f>NETWORKDAYS.INTL(VLOOKUP($V$4,$BL$6:$BN$18,2),K11,"0000011",$BQ$6:$BQ$21)</f>
        <v>15</v>
      </c>
      <c r="W11" s="11">
        <v>0</v>
      </c>
      <c r="X11" s="11">
        <v>0</v>
      </c>
      <c r="Y11" s="80">
        <v>0</v>
      </c>
      <c r="Z11" s="131">
        <v>4000000</v>
      </c>
      <c r="AA11" s="134">
        <f t="shared" ref="AA11:AL11" si="23">$Z$11*N11/N5</f>
        <v>0</v>
      </c>
      <c r="AB11" s="134">
        <f t="shared" si="23"/>
        <v>4000000</v>
      </c>
      <c r="AC11" s="134">
        <f t="shared" si="23"/>
        <v>4000000</v>
      </c>
      <c r="AD11" s="134">
        <f t="shared" si="23"/>
        <v>4000000</v>
      </c>
      <c r="AE11" s="134">
        <f t="shared" si="23"/>
        <v>4000000</v>
      </c>
      <c r="AF11" s="134">
        <f t="shared" si="23"/>
        <v>4000000</v>
      </c>
      <c r="AG11" s="134">
        <f t="shared" si="23"/>
        <v>4000000</v>
      </c>
      <c r="AH11" s="134">
        <f t="shared" si="23"/>
        <v>4000000</v>
      </c>
      <c r="AI11" s="134">
        <f t="shared" si="23"/>
        <v>2608695.6521739131</v>
      </c>
      <c r="AJ11" s="134">
        <f t="shared" si="23"/>
        <v>0</v>
      </c>
      <c r="AK11" s="134">
        <f t="shared" si="23"/>
        <v>0</v>
      </c>
      <c r="AL11" s="141">
        <f t="shared" si="23"/>
        <v>0</v>
      </c>
      <c r="AM11" s="72">
        <f>$AM$5</f>
        <v>16</v>
      </c>
      <c r="AN11" s="10">
        <f>$AN$5</f>
        <v>20</v>
      </c>
      <c r="AO11" s="10">
        <f>$AO$5</f>
        <v>23</v>
      </c>
      <c r="AP11" s="10">
        <f>$AP$5</f>
        <v>20</v>
      </c>
      <c r="AQ11" s="10">
        <f>$AQ$5</f>
        <v>20</v>
      </c>
      <c r="AR11" s="10">
        <f>$AR$5</f>
        <v>22</v>
      </c>
      <c r="AS11" s="10">
        <f>$AS$5</f>
        <v>21</v>
      </c>
      <c r="AT11" s="10">
        <f>$AT$5</f>
        <v>23</v>
      </c>
      <c r="AU11" s="10">
        <f>$AU$5</f>
        <v>19</v>
      </c>
      <c r="AV11" s="10">
        <f>$AV$5</f>
        <v>22</v>
      </c>
      <c r="AW11" s="10">
        <f>$AW$5</f>
        <v>22</v>
      </c>
      <c r="AX11" s="143">
        <f>$AX$5</f>
        <v>21</v>
      </c>
      <c r="AY11" s="53">
        <f t="shared" ref="AY11:BJ11" si="24">($M$11*AM11/AM5)+AA11</f>
        <v>12890000</v>
      </c>
      <c r="AZ11" s="53">
        <f t="shared" si="24"/>
        <v>16890000</v>
      </c>
      <c r="BA11" s="53">
        <f t="shared" si="24"/>
        <v>16890000</v>
      </c>
      <c r="BB11" s="53">
        <f t="shared" si="24"/>
        <v>16890000</v>
      </c>
      <c r="BC11" s="53">
        <f t="shared" si="24"/>
        <v>16890000</v>
      </c>
      <c r="BD11" s="53">
        <f t="shared" si="24"/>
        <v>16890000</v>
      </c>
      <c r="BE11" s="53">
        <f t="shared" si="24"/>
        <v>16890000</v>
      </c>
      <c r="BF11" s="53">
        <f t="shared" si="24"/>
        <v>16890000</v>
      </c>
      <c r="BG11" s="53">
        <f t="shared" si="24"/>
        <v>15498695.652173914</v>
      </c>
      <c r="BH11" s="53">
        <f t="shared" si="24"/>
        <v>12890000</v>
      </c>
      <c r="BI11" s="53">
        <f t="shared" si="24"/>
        <v>12890000</v>
      </c>
      <c r="BJ11" s="53">
        <f t="shared" si="24"/>
        <v>12890000</v>
      </c>
      <c r="BL11" s="125">
        <v>5</v>
      </c>
      <c r="BM11" s="60">
        <v>45047</v>
      </c>
      <c r="BN11" s="60">
        <v>45077</v>
      </c>
      <c r="BO11"/>
      <c r="BP11" s="185"/>
      <c r="BQ11" s="183">
        <v>44949</v>
      </c>
    </row>
    <row r="12" spans="1:70" s="5" customFormat="1" ht="15.9">
      <c r="A12" s="8" t="s">
        <v>166</v>
      </c>
      <c r="B12" s="43" t="s">
        <v>296</v>
      </c>
      <c r="C12" s="9">
        <v>43867</v>
      </c>
      <c r="D12" s="9">
        <v>44970</v>
      </c>
      <c r="E12" s="9">
        <v>45501</v>
      </c>
      <c r="F12" s="43" t="s">
        <v>297</v>
      </c>
      <c r="G12" s="43" t="str">
        <f t="shared" si="2"/>
        <v>PS_GYM_001</v>
      </c>
      <c r="H12" s="43" t="s">
        <v>298</v>
      </c>
      <c r="I12" s="8" t="s">
        <v>79</v>
      </c>
      <c r="J12" s="14">
        <v>44927</v>
      </c>
      <c r="K12" s="33">
        <v>45227</v>
      </c>
      <c r="L12" s="41">
        <v>10000000</v>
      </c>
      <c r="M12" s="104">
        <v>13890000</v>
      </c>
      <c r="N12" s="101">
        <f>NETWORKDAYS.INTL(J12,VLOOKUP($N$4,$BL$6:$BN$18,3),"0000011",$BQ$6:$BQ$21)</f>
        <v>16</v>
      </c>
      <c r="O12" s="101">
        <f>O5</f>
        <v>20</v>
      </c>
      <c r="P12" s="11">
        <f t="shared" si="7"/>
        <v>23</v>
      </c>
      <c r="Q12" s="11">
        <f t="shared" si="8"/>
        <v>20</v>
      </c>
      <c r="R12" s="11">
        <f t="shared" si="9"/>
        <v>22</v>
      </c>
      <c r="S12" s="11">
        <f t="shared" si="10"/>
        <v>22</v>
      </c>
      <c r="T12" s="11">
        <f t="shared" si="11"/>
        <v>21</v>
      </c>
      <c r="U12" s="11">
        <f t="shared" si="12"/>
        <v>23</v>
      </c>
      <c r="V12" s="11">
        <f>V5</f>
        <v>23</v>
      </c>
      <c r="W12" s="101">
        <f>NETWORKDAYS.INTL(VLOOKUP($W$4,$BL$6:$BN$18,2),K12,"0000011",$BQ$6:$BQ$21)</f>
        <v>20</v>
      </c>
      <c r="X12" s="11">
        <v>0</v>
      </c>
      <c r="Y12" s="11">
        <v>0</v>
      </c>
      <c r="Z12" s="75">
        <v>1000000</v>
      </c>
      <c r="AA12" s="134">
        <f t="shared" ref="AA12:AL12" si="25">$Z$12*N12/N5</f>
        <v>1000000</v>
      </c>
      <c r="AB12" s="134">
        <f t="shared" si="25"/>
        <v>1000000</v>
      </c>
      <c r="AC12" s="134">
        <f t="shared" si="25"/>
        <v>1000000</v>
      </c>
      <c r="AD12" s="134">
        <f t="shared" si="25"/>
        <v>1000000</v>
      </c>
      <c r="AE12" s="134">
        <f t="shared" si="25"/>
        <v>1000000</v>
      </c>
      <c r="AF12" s="134">
        <f t="shared" si="25"/>
        <v>1000000</v>
      </c>
      <c r="AG12" s="134">
        <f t="shared" si="25"/>
        <v>1000000</v>
      </c>
      <c r="AH12" s="134">
        <f t="shared" si="25"/>
        <v>1000000</v>
      </c>
      <c r="AI12" s="134">
        <f t="shared" si="25"/>
        <v>1000000</v>
      </c>
      <c r="AJ12" s="134">
        <f t="shared" si="25"/>
        <v>869565.21739130432</v>
      </c>
      <c r="AK12" s="134">
        <f t="shared" si="25"/>
        <v>0</v>
      </c>
      <c r="AL12" s="37">
        <f t="shared" si="25"/>
        <v>0</v>
      </c>
      <c r="AM12" s="72">
        <f>$AM$5</f>
        <v>16</v>
      </c>
      <c r="AN12" s="10">
        <f>$AN$5</f>
        <v>20</v>
      </c>
      <c r="AO12" s="10">
        <f>$AO$5</f>
        <v>23</v>
      </c>
      <c r="AP12" s="10">
        <f>$AP$5</f>
        <v>20</v>
      </c>
      <c r="AQ12" s="10">
        <f>$AQ$5</f>
        <v>20</v>
      </c>
      <c r="AR12" s="10">
        <f>$AR$5</f>
        <v>22</v>
      </c>
      <c r="AS12" s="10">
        <f>$AS$5</f>
        <v>21</v>
      </c>
      <c r="AT12" s="10">
        <f>$AT$5</f>
        <v>23</v>
      </c>
      <c r="AU12" s="10">
        <f>$AU$5</f>
        <v>19</v>
      </c>
      <c r="AV12" s="10">
        <f>$AV$5</f>
        <v>22</v>
      </c>
      <c r="AW12" s="10">
        <f>$AW$5</f>
        <v>22</v>
      </c>
      <c r="AX12" s="10">
        <f>$AX$5</f>
        <v>21</v>
      </c>
      <c r="AY12" s="53">
        <f t="shared" ref="AY12:BJ12" si="26">($M$12*AM12/AM5)+AA12</f>
        <v>14890000</v>
      </c>
      <c r="AZ12" s="53">
        <f t="shared" si="26"/>
        <v>14890000</v>
      </c>
      <c r="BA12" s="53">
        <f t="shared" si="26"/>
        <v>14890000</v>
      </c>
      <c r="BB12" s="53">
        <f t="shared" si="26"/>
        <v>14890000</v>
      </c>
      <c r="BC12" s="53">
        <f t="shared" si="26"/>
        <v>14890000</v>
      </c>
      <c r="BD12" s="53">
        <f t="shared" si="26"/>
        <v>14890000</v>
      </c>
      <c r="BE12" s="53">
        <f t="shared" si="26"/>
        <v>14890000</v>
      </c>
      <c r="BF12" s="53">
        <f t="shared" si="26"/>
        <v>14890000</v>
      </c>
      <c r="BG12" s="53">
        <f t="shared" si="26"/>
        <v>14890000</v>
      </c>
      <c r="BH12" s="53">
        <f t="shared" si="26"/>
        <v>14759565.217391305</v>
      </c>
      <c r="BI12" s="53">
        <f t="shared" si="26"/>
        <v>13890000</v>
      </c>
      <c r="BJ12" s="53">
        <f t="shared" si="26"/>
        <v>13890000</v>
      </c>
      <c r="BL12" s="125">
        <v>6</v>
      </c>
      <c r="BM12" s="60">
        <v>45078</v>
      </c>
      <c r="BN12" s="60">
        <v>45107</v>
      </c>
      <c r="BO12"/>
      <c r="BP12" s="185"/>
      <c r="BQ12" s="183">
        <v>44950</v>
      </c>
    </row>
    <row r="13" spans="1:70" s="5" customFormat="1" ht="15.9">
      <c r="A13" s="4"/>
      <c r="B13" s="4"/>
      <c r="C13" s="4"/>
      <c r="D13" s="4"/>
      <c r="E13" s="4"/>
      <c r="F13" s="45"/>
      <c r="G13" s="45"/>
      <c r="H13" s="4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30"/>
      <c r="BE13" s="30"/>
      <c r="BF13" s="30"/>
      <c r="BG13" s="30"/>
      <c r="BH13" s="30"/>
      <c r="BI13" s="30"/>
      <c r="BJ13" s="30"/>
      <c r="BK13" s="30"/>
      <c r="BL13" s="125">
        <v>7</v>
      </c>
      <c r="BM13" s="60">
        <v>45108</v>
      </c>
      <c r="BN13" s="60">
        <v>45138</v>
      </c>
      <c r="BO13" s="7"/>
      <c r="BP13" s="185"/>
      <c r="BQ13" s="183">
        <v>44951</v>
      </c>
    </row>
    <row r="14" spans="1:70" ht="15.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35"/>
      <c r="BE14" s="35"/>
      <c r="BF14" s="35"/>
      <c r="BG14" s="35"/>
      <c r="BH14" s="35"/>
      <c r="BI14" s="35"/>
      <c r="BJ14" s="35"/>
      <c r="BK14" s="35"/>
      <c r="BL14" s="125">
        <v>8</v>
      </c>
      <c r="BM14" s="60">
        <v>45139</v>
      </c>
      <c r="BN14" s="60">
        <v>45169</v>
      </c>
      <c r="BP14" s="187"/>
      <c r="BQ14" s="183">
        <v>44952</v>
      </c>
    </row>
    <row r="15" spans="1:70" ht="21.75" customHeight="1">
      <c r="BL15" s="20">
        <v>9</v>
      </c>
      <c r="BM15" s="60">
        <v>45170</v>
      </c>
      <c r="BN15" s="60">
        <v>45199</v>
      </c>
      <c r="BO15" s="5"/>
      <c r="BP15" s="188" t="s">
        <v>170</v>
      </c>
      <c r="BQ15" s="183">
        <v>45048</v>
      </c>
    </row>
    <row r="16" spans="1:70" ht="29.15">
      <c r="C16" s="191" t="s">
        <v>46</v>
      </c>
      <c r="D16" s="176" t="s">
        <v>275</v>
      </c>
      <c r="E16" s="176" t="s">
        <v>299</v>
      </c>
      <c r="F16" s="176" t="s">
        <v>277</v>
      </c>
      <c r="G16" s="176" t="s">
        <v>278</v>
      </c>
      <c r="H16" s="176" t="s">
        <v>279</v>
      </c>
      <c r="I16" s="176" t="s">
        <v>280</v>
      </c>
      <c r="J16" s="176" t="s">
        <v>281</v>
      </c>
      <c r="K16" s="176" t="s">
        <v>282</v>
      </c>
      <c r="L16" s="176" t="s">
        <v>283</v>
      </c>
      <c r="M16" s="176" t="s">
        <v>306</v>
      </c>
      <c r="N16" s="290" t="s">
        <v>285</v>
      </c>
      <c r="O16" s="289" t="s">
        <v>286</v>
      </c>
      <c r="BL16" s="20">
        <v>10</v>
      </c>
      <c r="BM16" s="60">
        <v>45200</v>
      </c>
      <c r="BN16" s="60">
        <v>45230</v>
      </c>
      <c r="BO16" s="5"/>
      <c r="BP16" s="188" t="s">
        <v>191</v>
      </c>
      <c r="BQ16" s="183">
        <v>45049</v>
      </c>
    </row>
    <row r="17" spans="3:69" ht="15.9">
      <c r="C17" s="189" t="s">
        <v>164</v>
      </c>
      <c r="D17" s="182">
        <f t="shared" ref="D17:M17" si="27">SUM(AY6:AY8)</f>
        <v>60340000</v>
      </c>
      <c r="E17" s="182">
        <f t="shared" si="27"/>
        <v>65840000</v>
      </c>
      <c r="F17" s="182">
        <f t="shared" si="27"/>
        <v>64970434.782608695</v>
      </c>
      <c r="G17" s="182">
        <f t="shared" si="27"/>
        <v>63840000</v>
      </c>
      <c r="H17" s="182">
        <f t="shared" si="27"/>
        <v>63840000</v>
      </c>
      <c r="I17" s="182">
        <f t="shared" si="27"/>
        <v>63840000</v>
      </c>
      <c r="J17" s="192">
        <f t="shared" si="27"/>
        <v>63840000</v>
      </c>
      <c r="K17" s="192">
        <f t="shared" si="27"/>
        <v>63840000</v>
      </c>
      <c r="L17" s="192">
        <f t="shared" si="27"/>
        <v>62622608.695652172</v>
      </c>
      <c r="M17" s="192">
        <f t="shared" si="27"/>
        <v>60340000</v>
      </c>
      <c r="N17" s="290"/>
      <c r="O17" s="289"/>
      <c r="BL17" s="20">
        <v>11</v>
      </c>
      <c r="BM17" s="60">
        <v>45231</v>
      </c>
      <c r="BN17" s="60">
        <v>45260</v>
      </c>
      <c r="BO17" s="5"/>
      <c r="BP17" s="184" t="s">
        <v>192</v>
      </c>
      <c r="BQ17" s="183">
        <v>45047</v>
      </c>
    </row>
    <row r="18" spans="3:69" ht="15" customHeight="1">
      <c r="C18" s="189" t="s">
        <v>165</v>
      </c>
      <c r="D18" s="182">
        <f t="shared" ref="D18:M18" si="28">SUM(AY9:AY10)</f>
        <v>0</v>
      </c>
      <c r="E18" s="182">
        <f t="shared" si="28"/>
        <v>17390000</v>
      </c>
      <c r="F18" s="182">
        <f t="shared" si="28"/>
        <v>17390000</v>
      </c>
      <c r="G18" s="182">
        <f t="shared" si="28"/>
        <v>17390000</v>
      </c>
      <c r="H18" s="182">
        <f t="shared" si="28"/>
        <v>18779000</v>
      </c>
      <c r="I18" s="182">
        <f t="shared" si="28"/>
        <v>17390000</v>
      </c>
      <c r="J18" s="192">
        <f t="shared" si="28"/>
        <v>17390000</v>
      </c>
      <c r="K18" s="192">
        <f t="shared" si="28"/>
        <v>17390000</v>
      </c>
      <c r="L18" s="192">
        <f t="shared" si="28"/>
        <v>16172608.695652174</v>
      </c>
      <c r="M18" s="192">
        <f t="shared" si="28"/>
        <v>13890000</v>
      </c>
      <c r="N18" s="290"/>
      <c r="O18" s="289"/>
      <c r="BL18" s="20">
        <v>12</v>
      </c>
      <c r="BM18" s="60">
        <v>45261</v>
      </c>
      <c r="BN18" s="60">
        <v>45291</v>
      </c>
      <c r="BO18" s="5"/>
      <c r="BP18" s="188" t="s">
        <v>195</v>
      </c>
      <c r="BQ18" s="183">
        <v>45170</v>
      </c>
    </row>
    <row r="19" spans="3:69" ht="15.9">
      <c r="C19" s="189" t="s">
        <v>166</v>
      </c>
      <c r="D19" s="190">
        <f t="shared" ref="D19:M19" si="29">SUM(AY11:AY12)</f>
        <v>27780000</v>
      </c>
      <c r="E19" s="190">
        <f t="shared" si="29"/>
        <v>31780000</v>
      </c>
      <c r="F19" s="190">
        <f t="shared" si="29"/>
        <v>31780000</v>
      </c>
      <c r="G19" s="190">
        <f t="shared" si="29"/>
        <v>31780000</v>
      </c>
      <c r="H19" s="190">
        <f t="shared" si="29"/>
        <v>31780000</v>
      </c>
      <c r="I19" s="190">
        <f t="shared" si="29"/>
        <v>31780000</v>
      </c>
      <c r="J19" s="193">
        <f t="shared" si="29"/>
        <v>31780000</v>
      </c>
      <c r="K19" s="193">
        <f t="shared" si="29"/>
        <v>31780000</v>
      </c>
      <c r="L19" s="193">
        <f t="shared" si="29"/>
        <v>30388695.652173914</v>
      </c>
      <c r="M19" s="193">
        <f t="shared" si="29"/>
        <v>27649565.217391305</v>
      </c>
      <c r="BL19" s="5"/>
      <c r="BM19" s="5"/>
      <c r="BN19" s="5"/>
      <c r="BO19" s="5"/>
      <c r="BP19" s="188"/>
      <c r="BQ19" s="183">
        <v>45171</v>
      </c>
    </row>
    <row r="20" spans="3:69" ht="15.9">
      <c r="C20" s="189" t="s">
        <v>252</v>
      </c>
      <c r="D20" s="190">
        <f>SUM(D17:D19)</f>
        <v>88120000</v>
      </c>
      <c r="E20" s="190">
        <f>SUM(E17:E19)</f>
        <v>115010000</v>
      </c>
      <c r="F20" s="190">
        <f t="shared" ref="F20:M20" si="30">SUM(F17:F19)</f>
        <v>114140434.78260869</v>
      </c>
      <c r="G20" s="190">
        <f t="shared" si="30"/>
        <v>113010000</v>
      </c>
      <c r="H20" s="190">
        <f t="shared" si="30"/>
        <v>114399000</v>
      </c>
      <c r="I20" s="190">
        <f t="shared" si="30"/>
        <v>113010000</v>
      </c>
      <c r="J20" s="193">
        <f t="shared" si="30"/>
        <v>113010000</v>
      </c>
      <c r="K20" s="193">
        <f t="shared" si="30"/>
        <v>113010000</v>
      </c>
      <c r="L20" s="193">
        <f t="shared" si="30"/>
        <v>109183913.04347825</v>
      </c>
      <c r="M20" s="193">
        <f t="shared" si="30"/>
        <v>101879565.21739131</v>
      </c>
      <c r="BL20" s="5"/>
      <c r="BM20" s="5"/>
      <c r="BN20" s="5"/>
      <c r="BO20" s="5"/>
      <c r="BP20" s="188"/>
      <c r="BQ20" s="183">
        <v>45172</v>
      </c>
    </row>
    <row r="21" spans="3:69" ht="15.9">
      <c r="BL21" s="5"/>
      <c r="BM21" s="5"/>
      <c r="BN21" s="5"/>
      <c r="BO21" s="5"/>
      <c r="BP21" s="188"/>
      <c r="BQ21" s="183">
        <v>45173</v>
      </c>
    </row>
  </sheetData>
  <mergeCells count="29">
    <mergeCell ref="N16:N18"/>
    <mergeCell ref="O16:O18"/>
    <mergeCell ref="BI3:BI5"/>
    <mergeCell ref="BJ3:BJ5"/>
    <mergeCell ref="D3:E4"/>
    <mergeCell ref="H3:I4"/>
    <mergeCell ref="BD3:BD5"/>
    <mergeCell ref="BE3:BE5"/>
    <mergeCell ref="C3:C4"/>
    <mergeCell ref="A3:A4"/>
    <mergeCell ref="B3:B4"/>
    <mergeCell ref="F3:F4"/>
    <mergeCell ref="G3:G4"/>
    <mergeCell ref="A1:BJ1"/>
    <mergeCell ref="AZ3:AZ5"/>
    <mergeCell ref="BA3:BA5"/>
    <mergeCell ref="BB3:BB5"/>
    <mergeCell ref="BC3:BC5"/>
    <mergeCell ref="J3:K4"/>
    <mergeCell ref="N3:Y3"/>
    <mergeCell ref="AA3:AL3"/>
    <mergeCell ref="L3:L5"/>
    <mergeCell ref="M3:M5"/>
    <mergeCell ref="Z3:Z5"/>
    <mergeCell ref="AM3:AX3"/>
    <mergeCell ref="AY3:AY5"/>
    <mergeCell ref="BF3:BF5"/>
    <mergeCell ref="BG3:BG5"/>
    <mergeCell ref="BH3:BH5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0879-6479-43E0-A6FA-3DCAEEB24C0F}">
  <dimension ref="A1:O13"/>
  <sheetViews>
    <sheetView workbookViewId="0">
      <selection activeCell="E4" sqref="E4"/>
    </sheetView>
  </sheetViews>
  <sheetFormatPr defaultRowHeight="14.6"/>
  <cols>
    <col min="2" max="2" width="22" customWidth="1"/>
    <col min="3" max="3" width="15.53515625" customWidth="1"/>
    <col min="4" max="4" width="19.3828125" customWidth="1"/>
    <col min="5" max="5" width="20.69140625" customWidth="1"/>
    <col min="6" max="6" width="20.3046875" customWidth="1"/>
    <col min="7" max="7" width="14.69140625" bestFit="1" customWidth="1"/>
    <col min="8" max="8" width="15.69140625" customWidth="1"/>
    <col min="9" max="9" width="16.3828125" customWidth="1"/>
    <col min="10" max="10" width="16.3046875" customWidth="1"/>
    <col min="11" max="11" width="18.3046875" customWidth="1"/>
    <col min="12" max="12" width="17.15234375" customWidth="1"/>
    <col min="13" max="13" width="16.3046875" customWidth="1"/>
    <col min="14" max="14" width="15.84375" customWidth="1"/>
    <col min="15" max="15" width="15" customWidth="1"/>
  </cols>
  <sheetData>
    <row r="1" spans="1:15" ht="30.9">
      <c r="A1" s="321" t="s">
        <v>307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3"/>
    </row>
    <row r="2" spans="1:15">
      <c r="A2" s="27"/>
      <c r="B2" s="61" t="s">
        <v>246</v>
      </c>
      <c r="C2" s="28"/>
      <c r="D2" s="28"/>
      <c r="E2" s="28"/>
      <c r="F2" s="28"/>
      <c r="G2" s="27"/>
      <c r="H2" s="27"/>
      <c r="I2" s="27"/>
      <c r="J2" s="27"/>
      <c r="K2" s="27"/>
      <c r="L2" s="27"/>
    </row>
    <row r="3" spans="1:15">
      <c r="A3" s="35"/>
      <c r="B3" s="62" t="s">
        <v>247</v>
      </c>
      <c r="C3" s="63" t="s">
        <v>248</v>
      </c>
      <c r="D3" s="63" t="s">
        <v>249</v>
      </c>
      <c r="E3" s="63" t="s">
        <v>3</v>
      </c>
      <c r="F3" s="63" t="s">
        <v>250</v>
      </c>
      <c r="G3" s="35"/>
      <c r="H3" s="35"/>
      <c r="I3" s="35"/>
      <c r="J3" s="35"/>
      <c r="K3" s="35"/>
      <c r="L3" s="35"/>
    </row>
    <row r="4" spans="1:15">
      <c r="A4" s="35"/>
      <c r="B4" s="64" t="s">
        <v>308</v>
      </c>
      <c r="C4" s="42" t="s">
        <v>252</v>
      </c>
      <c r="D4" s="42" t="s">
        <v>253</v>
      </c>
      <c r="E4" s="53">
        <f>D13</f>
        <v>1490000000</v>
      </c>
      <c r="F4" s="65" t="s">
        <v>309</v>
      </c>
      <c r="G4" s="35"/>
      <c r="H4" s="35"/>
      <c r="I4" s="35"/>
      <c r="J4" s="35"/>
      <c r="K4" s="35"/>
      <c r="L4" s="35"/>
    </row>
    <row r="5" spans="1:15">
      <c r="A5" s="35"/>
      <c r="B5" s="64" t="s">
        <v>308</v>
      </c>
      <c r="C5" s="42" t="s">
        <v>165</v>
      </c>
      <c r="D5" s="42" t="s">
        <v>255</v>
      </c>
      <c r="E5" s="53">
        <f>D11</f>
        <v>200000000</v>
      </c>
      <c r="F5" s="65" t="s">
        <v>309</v>
      </c>
      <c r="G5" s="35"/>
      <c r="H5" s="35"/>
      <c r="I5" s="35"/>
      <c r="J5" s="35"/>
      <c r="K5" s="35"/>
      <c r="L5" s="35"/>
    </row>
    <row r="6" spans="1:15">
      <c r="A6" s="35"/>
      <c r="B6" s="64" t="s">
        <v>308</v>
      </c>
      <c r="C6" s="42" t="s">
        <v>164</v>
      </c>
      <c r="D6" s="42" t="s">
        <v>256</v>
      </c>
      <c r="E6" s="53">
        <f>D10</f>
        <v>990000000</v>
      </c>
      <c r="F6" s="65" t="s">
        <v>309</v>
      </c>
      <c r="G6" s="35"/>
      <c r="H6" s="35"/>
      <c r="I6" s="35"/>
      <c r="J6" s="35"/>
      <c r="K6" s="35"/>
      <c r="L6" s="35"/>
    </row>
    <row r="7" spans="1:15">
      <c r="B7" s="61"/>
    </row>
    <row r="8" spans="1:15">
      <c r="B8" s="288" t="s">
        <v>310</v>
      </c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88"/>
      <c r="N8" s="288"/>
      <c r="O8" s="288"/>
    </row>
    <row r="9" spans="1:15">
      <c r="B9" s="66" t="s">
        <v>171</v>
      </c>
      <c r="C9" s="67" t="s">
        <v>257</v>
      </c>
      <c r="D9" s="39" t="s">
        <v>150</v>
      </c>
      <c r="E9" s="39" t="s">
        <v>151</v>
      </c>
      <c r="F9" s="39" t="s">
        <v>152</v>
      </c>
      <c r="G9" s="39" t="s">
        <v>153</v>
      </c>
      <c r="H9" s="39" t="s">
        <v>154</v>
      </c>
      <c r="I9" s="39" t="s">
        <v>155</v>
      </c>
      <c r="J9" s="39" t="s">
        <v>156</v>
      </c>
      <c r="K9" s="39" t="s">
        <v>157</v>
      </c>
      <c r="L9" s="39" t="s">
        <v>158</v>
      </c>
      <c r="M9" s="39" t="s">
        <v>159</v>
      </c>
      <c r="N9" s="39" t="s">
        <v>160</v>
      </c>
      <c r="O9" s="39" t="s">
        <v>161</v>
      </c>
    </row>
    <row r="10" spans="1:15">
      <c r="B10" s="10" t="s">
        <v>258</v>
      </c>
      <c r="C10" s="68">
        <f>SUM(D10:O10)</f>
        <v>9603000000</v>
      </c>
      <c r="D10" s="54">
        <v>990000000</v>
      </c>
      <c r="E10" s="54">
        <v>780000000</v>
      </c>
      <c r="F10" s="54">
        <v>1000000000</v>
      </c>
      <c r="G10" s="54">
        <v>1200000000</v>
      </c>
      <c r="H10" s="54">
        <v>850000000</v>
      </c>
      <c r="I10" s="54">
        <v>670000000</v>
      </c>
      <c r="J10" s="54">
        <v>543000000</v>
      </c>
      <c r="K10" s="54">
        <v>680000000</v>
      </c>
      <c r="L10" s="54">
        <v>890000000</v>
      </c>
      <c r="M10" s="54">
        <v>750000000</v>
      </c>
      <c r="N10" s="54">
        <v>690000000</v>
      </c>
      <c r="O10" s="54">
        <v>560000000</v>
      </c>
    </row>
    <row r="11" spans="1:15">
      <c r="B11" s="10" t="s">
        <v>259</v>
      </c>
      <c r="C11" s="68">
        <f>SUM(D11:O11)</f>
        <v>5502600000</v>
      </c>
      <c r="D11" s="54">
        <v>200000000</v>
      </c>
      <c r="E11" s="54">
        <v>420000000</v>
      </c>
      <c r="F11" s="54">
        <v>325000000</v>
      </c>
      <c r="G11" s="54">
        <v>738000000</v>
      </c>
      <c r="H11" s="54">
        <v>630000000</v>
      </c>
      <c r="I11" s="54">
        <v>670000000</v>
      </c>
      <c r="J11" s="54">
        <v>765000000</v>
      </c>
      <c r="K11" s="54">
        <v>456000000</v>
      </c>
      <c r="L11" s="54">
        <v>267000000</v>
      </c>
      <c r="M11" s="54">
        <v>378000000</v>
      </c>
      <c r="N11" s="54">
        <v>378400000</v>
      </c>
      <c r="O11" s="54">
        <v>275200000</v>
      </c>
    </row>
    <row r="12" spans="1:15">
      <c r="B12" s="10" t="s">
        <v>260</v>
      </c>
      <c r="C12" s="68">
        <f>SUM(D12:O12)</f>
        <v>5970000000</v>
      </c>
      <c r="D12" s="54">
        <v>300000000</v>
      </c>
      <c r="E12" s="54">
        <v>350000000</v>
      </c>
      <c r="F12" s="54">
        <v>640000000</v>
      </c>
      <c r="G12" s="54">
        <v>780000000</v>
      </c>
      <c r="H12" s="54">
        <v>360000000</v>
      </c>
      <c r="I12" s="54">
        <v>370000000</v>
      </c>
      <c r="J12" s="54">
        <v>430000000</v>
      </c>
      <c r="K12" s="54">
        <v>650000000</v>
      </c>
      <c r="L12" s="54">
        <v>378000000</v>
      </c>
      <c r="M12" s="54">
        <v>790000000</v>
      </c>
      <c r="N12" s="54">
        <v>272000000</v>
      </c>
      <c r="O12" s="54">
        <v>650000000</v>
      </c>
    </row>
    <row r="13" spans="1:15">
      <c r="B13" s="10" t="s">
        <v>261</v>
      </c>
      <c r="C13" s="68">
        <f>SUM(D13:O13)</f>
        <v>21075600000</v>
      </c>
      <c r="D13" s="54">
        <f t="shared" ref="D13:O13" si="0">SUM(D10:D12)</f>
        <v>1490000000</v>
      </c>
      <c r="E13" s="54">
        <f t="shared" si="0"/>
        <v>1550000000</v>
      </c>
      <c r="F13" s="54">
        <f t="shared" si="0"/>
        <v>1965000000</v>
      </c>
      <c r="G13" s="54">
        <f t="shared" si="0"/>
        <v>2718000000</v>
      </c>
      <c r="H13" s="54">
        <f t="shared" si="0"/>
        <v>1840000000</v>
      </c>
      <c r="I13" s="54">
        <f t="shared" si="0"/>
        <v>1710000000</v>
      </c>
      <c r="J13" s="54">
        <f t="shared" si="0"/>
        <v>1738000000</v>
      </c>
      <c r="K13" s="54">
        <f t="shared" si="0"/>
        <v>1786000000</v>
      </c>
      <c r="L13" s="54">
        <f t="shared" si="0"/>
        <v>1535000000</v>
      </c>
      <c r="M13" s="54">
        <f t="shared" si="0"/>
        <v>1918000000</v>
      </c>
      <c r="N13" s="54">
        <f t="shared" si="0"/>
        <v>1340400000</v>
      </c>
      <c r="O13" s="54">
        <f t="shared" si="0"/>
        <v>1485200000</v>
      </c>
    </row>
  </sheetData>
  <mergeCells count="2">
    <mergeCell ref="A1:L1"/>
    <mergeCell ref="B8:O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1ADC-CB1D-4049-85A0-B7D2AB16E958}">
  <dimension ref="A1:Z11"/>
  <sheetViews>
    <sheetView workbookViewId="0">
      <selection activeCell="H12" sqref="H12"/>
    </sheetView>
  </sheetViews>
  <sheetFormatPr defaultRowHeight="14.6"/>
  <cols>
    <col min="1" max="1" width="13" customWidth="1"/>
    <col min="2" max="2" width="11" customWidth="1"/>
    <col min="3" max="3" width="12.53515625" customWidth="1"/>
    <col min="4" max="4" width="11.53515625" customWidth="1"/>
    <col min="5" max="5" width="10" customWidth="1"/>
    <col min="7" max="7" width="9.69140625" customWidth="1"/>
    <col min="8" max="8" width="10.15234375" customWidth="1"/>
  </cols>
  <sheetData>
    <row r="1" spans="1:26" ht="40.5" customHeight="1">
      <c r="A1" s="227" t="s">
        <v>311</v>
      </c>
      <c r="B1" s="228"/>
      <c r="C1" s="228"/>
      <c r="D1" s="228"/>
      <c r="E1" s="228"/>
      <c r="F1" s="228"/>
      <c r="G1" s="229"/>
    </row>
    <row r="3" spans="1:26" s="5" customFormat="1">
      <c r="A3" s="232" t="s">
        <v>311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Q3"/>
      <c r="R3"/>
      <c r="S3"/>
    </row>
    <row r="4" spans="1:26" s="7" customFormat="1">
      <c r="A4" s="230" t="s">
        <v>171</v>
      </c>
      <c r="B4" s="233" t="s">
        <v>312</v>
      </c>
      <c r="C4" s="233" t="s">
        <v>313</v>
      </c>
      <c r="D4" s="233" t="s">
        <v>314</v>
      </c>
      <c r="E4" s="233" t="s">
        <v>315</v>
      </c>
      <c r="F4" s="233" t="s">
        <v>316</v>
      </c>
      <c r="G4" s="233" t="s">
        <v>317</v>
      </c>
      <c r="H4" s="233" t="s">
        <v>318</v>
      </c>
      <c r="I4" s="233" t="s">
        <v>319</v>
      </c>
      <c r="J4" s="233" t="s">
        <v>320</v>
      </c>
      <c r="K4" s="233" t="s">
        <v>321</v>
      </c>
      <c r="L4" s="233" t="s">
        <v>322</v>
      </c>
      <c r="M4" s="233" t="s">
        <v>323</v>
      </c>
      <c r="Q4"/>
      <c r="R4"/>
      <c r="S4"/>
    </row>
    <row r="5" spans="1:26" s="7" customFormat="1">
      <c r="A5" s="231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Q5"/>
      <c r="R5"/>
      <c r="S5"/>
    </row>
    <row r="6" spans="1:26" s="31" customFormat="1">
      <c r="A6" s="132" t="s">
        <v>164</v>
      </c>
      <c r="B6" s="180"/>
      <c r="C6" s="180">
        <f>'03. Cost Actual'!C16/'00. Revenue Actual'!C5</f>
        <v>0.27110335024393301</v>
      </c>
      <c r="D6" s="180">
        <f>'03. Cost Actual'!D16/'00. Revenue Actual'!D5</f>
        <v>0.64392797454948036</v>
      </c>
      <c r="F6" s="180"/>
      <c r="G6" s="180"/>
      <c r="H6" s="180"/>
      <c r="I6" s="180"/>
      <c r="J6" s="180"/>
      <c r="K6" s="180"/>
      <c r="L6" s="180"/>
      <c r="M6" s="180"/>
      <c r="N6"/>
      <c r="O6"/>
      <c r="P6"/>
      <c r="Q6"/>
      <c r="R6"/>
      <c r="S6"/>
      <c r="T6"/>
      <c r="U6"/>
      <c r="V6"/>
      <c r="W6"/>
      <c r="X6"/>
      <c r="Y6"/>
      <c r="Z6"/>
    </row>
    <row r="7" spans="1:26" s="5" customFormat="1">
      <c r="A7" s="74" t="s">
        <v>165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/>
      <c r="O7"/>
      <c r="P7"/>
      <c r="Q7"/>
      <c r="R7"/>
      <c r="S7"/>
      <c r="T7"/>
      <c r="U7"/>
      <c r="V7"/>
      <c r="W7"/>
      <c r="X7"/>
      <c r="Y7"/>
      <c r="Z7"/>
    </row>
    <row r="8" spans="1:26" s="5" customFormat="1">
      <c r="A8" s="74" t="s">
        <v>166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Q8"/>
      <c r="R8"/>
      <c r="S8"/>
    </row>
    <row r="9" spans="1:26" s="5" customFormat="1">
      <c r="A9" s="74" t="s">
        <v>165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Q9"/>
      <c r="R9"/>
      <c r="S9"/>
    </row>
    <row r="11" spans="1:26">
      <c r="B11" t="s">
        <v>324</v>
      </c>
    </row>
  </sheetData>
  <mergeCells count="15">
    <mergeCell ref="I4:I5"/>
    <mergeCell ref="J4:J5"/>
    <mergeCell ref="K4:K5"/>
    <mergeCell ref="L4:L5"/>
    <mergeCell ref="A1:G1"/>
    <mergeCell ref="A3:M3"/>
    <mergeCell ref="A4:A5"/>
    <mergeCell ref="B4:B5"/>
    <mergeCell ref="C4:C5"/>
    <mergeCell ref="D4:D5"/>
    <mergeCell ref="E4:E5"/>
    <mergeCell ref="F4:F5"/>
    <mergeCell ref="G4:G5"/>
    <mergeCell ref="M4:M5"/>
    <mergeCell ref="H4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8F65-7BD4-473C-B707-354D1F95640A}">
  <dimension ref="A1:Z11"/>
  <sheetViews>
    <sheetView workbookViewId="0">
      <selection activeCell="C6" sqref="C6"/>
    </sheetView>
  </sheetViews>
  <sheetFormatPr defaultRowHeight="14.6"/>
  <cols>
    <col min="1" max="1" width="12.84375" customWidth="1"/>
    <col min="2" max="2" width="11.69140625" customWidth="1"/>
    <col min="3" max="3" width="14.3046875" customWidth="1"/>
    <col min="4" max="4" width="11.15234375" customWidth="1"/>
    <col min="5" max="5" width="11.3828125" customWidth="1"/>
    <col min="7" max="7" width="11.84375" bestFit="1" customWidth="1"/>
    <col min="9" max="9" width="9.15234375" customWidth="1"/>
  </cols>
  <sheetData>
    <row r="1" spans="1:26" ht="43.5" customHeight="1">
      <c r="A1" s="227" t="s">
        <v>325</v>
      </c>
      <c r="B1" s="228"/>
      <c r="C1" s="228"/>
      <c r="D1" s="228"/>
      <c r="E1" s="228"/>
      <c r="F1" s="228"/>
      <c r="G1" s="229"/>
    </row>
    <row r="3" spans="1:26" s="5" customFormat="1">
      <c r="A3" s="232" t="s">
        <v>325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Q3"/>
      <c r="R3"/>
      <c r="S3"/>
    </row>
    <row r="4" spans="1:26" s="7" customFormat="1">
      <c r="A4" s="230" t="s">
        <v>171</v>
      </c>
      <c r="B4" s="233" t="s">
        <v>312</v>
      </c>
      <c r="C4" s="233" t="s">
        <v>313</v>
      </c>
      <c r="D4" s="233" t="s">
        <v>314</v>
      </c>
      <c r="E4" s="233" t="s">
        <v>315</v>
      </c>
      <c r="F4" s="233" t="s">
        <v>316</v>
      </c>
      <c r="G4" s="233" t="s">
        <v>317</v>
      </c>
      <c r="H4" s="233" t="s">
        <v>318</v>
      </c>
      <c r="I4" s="233" t="s">
        <v>319</v>
      </c>
      <c r="J4" s="233" t="s">
        <v>320</v>
      </c>
      <c r="K4" s="233" t="s">
        <v>321</v>
      </c>
      <c r="L4" s="233" t="s">
        <v>322</v>
      </c>
      <c r="M4" s="233" t="s">
        <v>323</v>
      </c>
      <c r="Q4"/>
      <c r="R4"/>
      <c r="S4"/>
    </row>
    <row r="5" spans="1:26" s="7" customFormat="1">
      <c r="A5" s="231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Q5"/>
      <c r="R5"/>
      <c r="S5"/>
    </row>
    <row r="6" spans="1:26" s="31" customFormat="1">
      <c r="A6" s="132" t="s">
        <v>164</v>
      </c>
      <c r="B6" s="180"/>
      <c r="C6" s="180">
        <f>'04. Cost Forecast'!E17/'01. Revenue Forecast'!C5</f>
        <v>0.21942629222889656</v>
      </c>
      <c r="D6" s="180">
        <f>'04. Cost Forecast'!F17/'01. Revenue Forecast'!D5</f>
        <v>0.64931086544162908</v>
      </c>
      <c r="F6" s="180"/>
      <c r="G6" s="180"/>
      <c r="H6" s="180"/>
      <c r="I6" s="180"/>
      <c r="J6" s="180"/>
      <c r="K6" s="180"/>
      <c r="L6" s="180"/>
      <c r="M6" s="180"/>
      <c r="N6"/>
      <c r="O6"/>
      <c r="P6"/>
      <c r="Q6"/>
      <c r="R6"/>
      <c r="S6"/>
      <c r="T6"/>
      <c r="U6"/>
      <c r="V6"/>
      <c r="W6"/>
      <c r="X6"/>
      <c r="Y6"/>
      <c r="Z6"/>
    </row>
    <row r="7" spans="1:26" s="5" customFormat="1">
      <c r="A7" s="74" t="s">
        <v>165</v>
      </c>
      <c r="B7" s="15"/>
      <c r="C7" s="15">
        <f>'04. Cost Forecast'!E18/'01. Revenue Forecast'!C6</f>
        <v>0.40874560463323367</v>
      </c>
      <c r="D7" s="15">
        <f>'04. Cost Forecast'!F18/'01. Revenue Forecast'!C6</f>
        <v>0.40874560463323367</v>
      </c>
      <c r="E7" s="15"/>
      <c r="F7" s="15"/>
      <c r="G7" s="15"/>
      <c r="H7" s="15"/>
      <c r="I7" s="15"/>
      <c r="J7" s="15"/>
      <c r="K7" s="15"/>
      <c r="L7" s="15"/>
      <c r="M7" s="15"/>
      <c r="N7"/>
      <c r="O7"/>
      <c r="P7"/>
      <c r="Q7"/>
      <c r="R7"/>
      <c r="S7"/>
      <c r="T7"/>
      <c r="U7"/>
      <c r="V7"/>
      <c r="W7"/>
      <c r="X7"/>
      <c r="Y7"/>
      <c r="Z7"/>
    </row>
    <row r="8" spans="1:26" s="5" customFormat="1">
      <c r="A8" s="74" t="s">
        <v>166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Q8"/>
      <c r="R8"/>
      <c r="S8"/>
    </row>
    <row r="9" spans="1:26" s="5" customFormat="1">
      <c r="A9" s="74" t="s">
        <v>165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Q9"/>
      <c r="R9"/>
      <c r="S9"/>
    </row>
    <row r="10" spans="1:26"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</row>
    <row r="11" spans="1:26">
      <c r="B11" t="s">
        <v>326</v>
      </c>
    </row>
  </sheetData>
  <mergeCells count="15">
    <mergeCell ref="A1:G1"/>
    <mergeCell ref="A4:A5"/>
    <mergeCell ref="A3:M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2D90-9B76-4EEC-B94B-DF2E8BBB4A81}">
  <dimension ref="A1:O13"/>
  <sheetViews>
    <sheetView workbookViewId="0">
      <selection activeCell="I5" sqref="I5"/>
    </sheetView>
  </sheetViews>
  <sheetFormatPr defaultRowHeight="14.6"/>
  <cols>
    <col min="2" max="2" width="17" customWidth="1"/>
    <col min="3" max="3" width="21.3046875" customWidth="1"/>
    <col min="4" max="4" width="21.3828125" customWidth="1"/>
    <col min="5" max="5" width="21" customWidth="1"/>
    <col min="6" max="6" width="27.15234375" customWidth="1"/>
  </cols>
  <sheetData>
    <row r="1" spans="1:15" ht="40.5" customHeight="1">
      <c r="A1" s="321" t="s">
        <v>327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3"/>
    </row>
    <row r="2" spans="1:15">
      <c r="A2" s="27"/>
      <c r="B2" s="61" t="s">
        <v>328</v>
      </c>
      <c r="C2" s="28"/>
      <c r="D2" s="28"/>
      <c r="E2" s="28"/>
      <c r="F2" s="27"/>
      <c r="G2" s="27"/>
      <c r="H2" s="27"/>
      <c r="I2" s="27"/>
      <c r="J2" s="27"/>
      <c r="K2" s="27"/>
      <c r="L2" s="27"/>
    </row>
    <row r="3" spans="1:15">
      <c r="A3" s="35"/>
      <c r="B3" s="62" t="s">
        <v>247</v>
      </c>
      <c r="C3" s="63" t="s">
        <v>248</v>
      </c>
      <c r="D3" s="63" t="s">
        <v>249</v>
      </c>
      <c r="E3" s="175" t="s">
        <v>3</v>
      </c>
      <c r="F3" s="174" t="s">
        <v>250</v>
      </c>
      <c r="G3" s="35"/>
      <c r="H3" s="35"/>
      <c r="I3" s="35"/>
      <c r="J3" s="35"/>
      <c r="K3" s="35"/>
      <c r="L3" s="35"/>
    </row>
    <row r="4" spans="1:15">
      <c r="A4" s="35"/>
      <c r="B4" s="64" t="s">
        <v>329</v>
      </c>
      <c r="C4" s="42" t="s">
        <v>252</v>
      </c>
      <c r="D4" s="128" t="s">
        <v>253</v>
      </c>
      <c r="E4" s="68"/>
      <c r="F4" s="133" t="s">
        <v>330</v>
      </c>
      <c r="G4" s="35"/>
      <c r="H4" s="35"/>
      <c r="I4" s="35"/>
      <c r="J4" s="35"/>
      <c r="K4" s="35"/>
      <c r="L4" s="35"/>
    </row>
    <row r="5" spans="1:15">
      <c r="A5" s="35"/>
      <c r="B5" s="64" t="s">
        <v>329</v>
      </c>
      <c r="C5" s="42" t="s">
        <v>165</v>
      </c>
      <c r="D5" s="128" t="s">
        <v>255</v>
      </c>
      <c r="E5" s="68"/>
      <c r="F5" s="133" t="s">
        <v>330</v>
      </c>
      <c r="G5" s="35"/>
      <c r="H5" s="35"/>
      <c r="I5" s="35"/>
      <c r="J5" s="35"/>
      <c r="K5" s="35"/>
      <c r="L5" s="35"/>
    </row>
    <row r="6" spans="1:15">
      <c r="A6" s="35"/>
      <c r="B6" s="64" t="s">
        <v>329</v>
      </c>
      <c r="C6" s="42" t="s">
        <v>164</v>
      </c>
      <c r="D6" s="128" t="s">
        <v>256</v>
      </c>
      <c r="E6" s="68"/>
      <c r="F6" s="133" t="s">
        <v>330</v>
      </c>
      <c r="G6" s="35"/>
      <c r="H6" s="35"/>
      <c r="I6" s="35"/>
      <c r="J6" s="35"/>
      <c r="K6" s="35"/>
      <c r="L6" s="35"/>
    </row>
    <row r="7" spans="1:15">
      <c r="B7" s="61"/>
    </row>
    <row r="8" spans="1:15">
      <c r="B8" s="288" t="s">
        <v>329</v>
      </c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88"/>
      <c r="N8" s="288"/>
      <c r="O8" s="288"/>
    </row>
    <row r="9" spans="1:15">
      <c r="B9" s="94" t="s">
        <v>171</v>
      </c>
      <c r="C9" s="94" t="s">
        <v>331</v>
      </c>
      <c r="D9" s="40" t="s">
        <v>150</v>
      </c>
      <c r="E9" s="40" t="s">
        <v>151</v>
      </c>
      <c r="F9" s="40" t="s">
        <v>152</v>
      </c>
      <c r="G9" s="40" t="s">
        <v>153</v>
      </c>
      <c r="H9" s="40" t="s">
        <v>154</v>
      </c>
      <c r="I9" s="40" t="s">
        <v>155</v>
      </c>
      <c r="J9" s="40" t="s">
        <v>156</v>
      </c>
      <c r="K9" s="40" t="s">
        <v>157</v>
      </c>
      <c r="L9" s="40" t="s">
        <v>158</v>
      </c>
      <c r="M9" s="40" t="s">
        <v>159</v>
      </c>
      <c r="N9" s="40" t="s">
        <v>160</v>
      </c>
      <c r="O9" s="40" t="s">
        <v>161</v>
      </c>
    </row>
    <row r="10" spans="1:15">
      <c r="B10" s="10" t="s">
        <v>258</v>
      </c>
      <c r="C10" s="179">
        <f>SUM(D10:O10)/12</f>
        <v>0.80024999999999979</v>
      </c>
      <c r="D10" s="178">
        <f>'05. Cost Target'!D10/'02. Revenue Target'!D10</f>
        <v>0.99</v>
      </c>
      <c r="E10" s="178">
        <f>'05. Cost Target'!E10/'02. Revenue Target'!E10</f>
        <v>0.78</v>
      </c>
      <c r="F10" s="178">
        <f>'05. Cost Target'!F10/'02. Revenue Target'!F10</f>
        <v>1</v>
      </c>
      <c r="G10" s="178">
        <f>'05. Cost Target'!G10/'02. Revenue Target'!G10</f>
        <v>1.2</v>
      </c>
      <c r="H10" s="178">
        <f>'05. Cost Target'!H10/'02. Revenue Target'!H10</f>
        <v>0.85</v>
      </c>
      <c r="I10" s="178">
        <f>'05. Cost Target'!I10/'02. Revenue Target'!I10</f>
        <v>0.67</v>
      </c>
      <c r="J10" s="178">
        <f>'05. Cost Target'!J10/'02. Revenue Target'!J10</f>
        <v>0.54300000000000004</v>
      </c>
      <c r="K10" s="178">
        <f>'05. Cost Target'!K10/'02. Revenue Target'!K10</f>
        <v>0.68</v>
      </c>
      <c r="L10" s="178">
        <f>'05. Cost Target'!L10/'02. Revenue Target'!L10</f>
        <v>0.89</v>
      </c>
      <c r="M10" s="178">
        <f>'05. Cost Target'!M10/'02. Revenue Target'!M10</f>
        <v>0.75</v>
      </c>
      <c r="N10" s="178">
        <f>'05. Cost Target'!N10/'02. Revenue Target'!N10</f>
        <v>0.69</v>
      </c>
      <c r="O10" s="178">
        <f>'05. Cost Target'!O10/'02. Revenue Target'!O10</f>
        <v>0.56000000000000005</v>
      </c>
    </row>
    <row r="11" spans="1:15">
      <c r="B11" s="10" t="s">
        <v>259</v>
      </c>
      <c r="C11" s="179">
        <f t="shared" ref="C11:C12" si="0">SUM(D11:O11)/12</f>
        <v>0.96182995651624836</v>
      </c>
      <c r="D11" s="178">
        <f>'05. Cost Target'!D11/'02. Revenue Target'!D11</f>
        <v>3.7735849056603774</v>
      </c>
      <c r="E11" s="178">
        <f>'05. Cost Target'!E11/'02. Revenue Target'!E11</f>
        <v>0.66666666666666663</v>
      </c>
      <c r="F11" s="178">
        <f>'05. Cost Target'!F11/'02. Revenue Target'!F11</f>
        <v>0.77380952380952384</v>
      </c>
      <c r="G11" s="178">
        <f>'05. Cost Target'!G11/'02. Revenue Target'!G11</f>
        <v>1.3418181818181818</v>
      </c>
      <c r="H11" s="178">
        <f>'05. Cost Target'!H11/'02. Revenue Target'!H11</f>
        <v>0.94029850746268662</v>
      </c>
      <c r="I11" s="178">
        <f>'05. Cost Target'!I11/'02. Revenue Target'!I11</f>
        <v>0.76136363636363635</v>
      </c>
      <c r="J11" s="178">
        <f>'05. Cost Target'!J11/'02. Revenue Target'!J11</f>
        <v>0.85</v>
      </c>
      <c r="K11" s="178">
        <f>'05. Cost Target'!K11/'02. Revenue Target'!K11</f>
        <v>0.6333333333333333</v>
      </c>
      <c r="L11" s="178">
        <f>'05. Cost Target'!L11/'02. Revenue Target'!L11</f>
        <v>0.3926470588235294</v>
      </c>
      <c r="M11" s="178">
        <f>'05. Cost Target'!M11/'02. Revenue Target'!M11</f>
        <v>0.54782608695652169</v>
      </c>
      <c r="N11" s="178">
        <f>'05. Cost Target'!N11/'02. Revenue Target'!N11</f>
        <v>0.4251685393258427</v>
      </c>
      <c r="O11" s="178">
        <f>'05. Cost Target'!O11/'02. Revenue Target'!O11</f>
        <v>0.43544303797468353</v>
      </c>
    </row>
    <row r="12" spans="1:15">
      <c r="B12" s="10" t="s">
        <v>260</v>
      </c>
      <c r="C12" s="179">
        <f t="shared" si="0"/>
        <v>0.76916975268574239</v>
      </c>
      <c r="D12" s="178">
        <f>'05. Cost Target'!D12/'02. Revenue Target'!D12</f>
        <v>0.56603773584905659</v>
      </c>
      <c r="E12" s="178">
        <f>'05. Cost Target'!E12/'02. Revenue Target'!E12</f>
        <v>0.81395348837209303</v>
      </c>
      <c r="F12" s="178">
        <f>'05. Cost Target'!F12/'02. Revenue Target'!F12</f>
        <v>1.1428571428571428</v>
      </c>
      <c r="G12" s="178">
        <f>'05. Cost Target'!G12/'02. Revenue Target'!G12</f>
        <v>2.2285714285714286</v>
      </c>
      <c r="H12" s="178">
        <f>'05. Cost Target'!H12/'02. Revenue Target'!H12</f>
        <v>0.4044943820224719</v>
      </c>
      <c r="I12" s="178">
        <f>'05. Cost Target'!I12/'02. Revenue Target'!I12</f>
        <v>0.48684210526315791</v>
      </c>
      <c r="J12" s="178">
        <f>'05. Cost Target'!J12/'02. Revenue Target'!J12</f>
        <v>0.51807228915662651</v>
      </c>
      <c r="K12" s="178">
        <f>'05. Cost Target'!K12/'02. Revenue Target'!K12</f>
        <v>0.82278481012658233</v>
      </c>
      <c r="L12" s="178">
        <f>'05. Cost Target'!L12/'02. Revenue Target'!L12</f>
        <v>0.3073170731707317</v>
      </c>
      <c r="M12" s="178">
        <f>'05. Cost Target'!M12/'02. Revenue Target'!M12</f>
        <v>0.88764044943820219</v>
      </c>
      <c r="N12" s="178">
        <f>'05. Cost Target'!N12/'02. Revenue Target'!N12</f>
        <v>0.29565217391304349</v>
      </c>
      <c r="O12" s="178">
        <f>'05. Cost Target'!O12/'02. Revenue Target'!O12</f>
        <v>0.7558139534883721</v>
      </c>
    </row>
    <row r="13" spans="1:15">
      <c r="B13" s="10" t="s">
        <v>261</v>
      </c>
      <c r="C13" s="54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</row>
  </sheetData>
  <mergeCells count="2">
    <mergeCell ref="A1:L1"/>
    <mergeCell ref="B8:O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6C0A-B5E1-491E-BB11-97EB19298D1E}">
  <dimension ref="A1:BO21"/>
  <sheetViews>
    <sheetView workbookViewId="0">
      <selection activeCell="BN11" sqref="BN11"/>
    </sheetView>
  </sheetViews>
  <sheetFormatPr defaultRowHeight="14.6"/>
  <cols>
    <col min="1" max="1" width="13.3046875" customWidth="1"/>
    <col min="2" max="2" width="16" bestFit="1" customWidth="1"/>
    <col min="3" max="5" width="16" customWidth="1"/>
    <col min="6" max="6" width="15.53515625" customWidth="1"/>
    <col min="7" max="7" width="23.3828125" bestFit="1" customWidth="1"/>
    <col min="8" max="8" width="5.53515625" customWidth="1"/>
    <col min="9" max="10" width="15.69140625" customWidth="1"/>
    <col min="11" max="11" width="11.3828125" bestFit="1" customWidth="1"/>
    <col min="12" max="35" width="7.3828125" customWidth="1"/>
    <col min="36" max="59" width="9.3828125" customWidth="1"/>
    <col min="60" max="60" width="11.84375" bestFit="1" customWidth="1"/>
    <col min="61" max="61" width="3.3046875" bestFit="1" customWidth="1"/>
    <col min="62" max="62" width="10.3828125" bestFit="1" customWidth="1"/>
    <col min="63" max="63" width="11.3828125" bestFit="1" customWidth="1"/>
    <col min="65" max="65" width="35.84375" style="138" bestFit="1" customWidth="1"/>
    <col min="66" max="66" width="22.84375" customWidth="1"/>
  </cols>
  <sheetData>
    <row r="1" spans="1:67" s="52" customFormat="1" ht="30.75" customHeight="1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</row>
    <row r="2" spans="1:67" s="52" customFormat="1" ht="30.75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</row>
    <row r="3" spans="1:67" ht="15" customHeight="1">
      <c r="A3" s="280" t="s">
        <v>171</v>
      </c>
      <c r="B3" s="280" t="s">
        <v>263</v>
      </c>
      <c r="C3" s="280" t="s">
        <v>264</v>
      </c>
      <c r="D3" s="263" t="s">
        <v>265</v>
      </c>
      <c r="E3" s="263"/>
      <c r="F3" s="280" t="s">
        <v>173</v>
      </c>
      <c r="G3" s="280" t="s">
        <v>174</v>
      </c>
      <c r="H3" s="291" t="s">
        <v>266</v>
      </c>
      <c r="I3" s="291"/>
      <c r="J3" s="291" t="s">
        <v>267</v>
      </c>
      <c r="K3" s="291"/>
      <c r="L3" s="103">
        <v>1.5</v>
      </c>
      <c r="M3" s="266" t="s">
        <v>300</v>
      </c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170">
        <v>2</v>
      </c>
      <c r="Y3" s="310" t="s">
        <v>301</v>
      </c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166">
        <v>3</v>
      </c>
      <c r="AK3" s="312" t="s">
        <v>302</v>
      </c>
      <c r="AL3" s="312"/>
      <c r="AM3" s="312"/>
      <c r="AN3" s="312"/>
      <c r="AO3" s="312"/>
      <c r="AP3" s="312"/>
      <c r="AQ3" s="312"/>
      <c r="AR3" s="312"/>
      <c r="AS3" s="312"/>
      <c r="AT3" s="312"/>
      <c r="AU3" s="312"/>
      <c r="AV3" s="308" t="s">
        <v>303</v>
      </c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9"/>
    </row>
    <row r="4" spans="1:67" s="5" customFormat="1">
      <c r="A4" s="280"/>
      <c r="B4" s="280"/>
      <c r="C4" s="280"/>
      <c r="D4" s="263"/>
      <c r="E4" s="263"/>
      <c r="F4" s="280"/>
      <c r="G4" s="280"/>
      <c r="H4" s="291"/>
      <c r="I4" s="291"/>
      <c r="J4" s="291"/>
      <c r="K4" s="291"/>
      <c r="L4" s="313">
        <v>1</v>
      </c>
      <c r="M4" s="313">
        <v>2</v>
      </c>
      <c r="N4" s="313">
        <v>3</v>
      </c>
      <c r="O4" s="313">
        <v>4</v>
      </c>
      <c r="P4" s="313">
        <v>5</v>
      </c>
      <c r="Q4" s="313">
        <v>6</v>
      </c>
      <c r="R4" s="313">
        <v>7</v>
      </c>
      <c r="S4" s="313">
        <v>8</v>
      </c>
      <c r="T4" s="313">
        <v>9</v>
      </c>
      <c r="U4" s="313">
        <v>10</v>
      </c>
      <c r="V4" s="313">
        <v>11</v>
      </c>
      <c r="W4" s="313">
        <v>12</v>
      </c>
      <c r="X4" s="315">
        <v>1</v>
      </c>
      <c r="Y4" s="315">
        <v>2</v>
      </c>
      <c r="Z4" s="315">
        <v>3</v>
      </c>
      <c r="AA4" s="315">
        <v>4</v>
      </c>
      <c r="AB4" s="315">
        <v>5</v>
      </c>
      <c r="AC4" s="315">
        <v>6</v>
      </c>
      <c r="AD4" s="315">
        <v>7</v>
      </c>
      <c r="AE4" s="315">
        <v>8</v>
      </c>
      <c r="AF4" s="315">
        <v>9</v>
      </c>
      <c r="AG4" s="315">
        <v>10</v>
      </c>
      <c r="AH4" s="315">
        <v>11</v>
      </c>
      <c r="AI4" s="315">
        <v>12</v>
      </c>
      <c r="AJ4" s="317">
        <v>1</v>
      </c>
      <c r="AK4" s="317">
        <v>2</v>
      </c>
      <c r="AL4" s="317">
        <v>3</v>
      </c>
      <c r="AM4" s="317">
        <v>4</v>
      </c>
      <c r="AN4" s="317">
        <v>5</v>
      </c>
      <c r="AO4" s="317">
        <v>6</v>
      </c>
      <c r="AP4" s="317">
        <v>7</v>
      </c>
      <c r="AQ4" s="317">
        <v>8</v>
      </c>
      <c r="AR4" s="317">
        <v>9</v>
      </c>
      <c r="AS4" s="317">
        <v>10</v>
      </c>
      <c r="AT4" s="317">
        <v>11</v>
      </c>
      <c r="AU4" s="317">
        <v>12</v>
      </c>
      <c r="AV4" s="319">
        <v>1</v>
      </c>
      <c r="AW4" s="319">
        <v>2</v>
      </c>
      <c r="AX4" s="319">
        <v>3</v>
      </c>
      <c r="AY4" s="319">
        <v>4</v>
      </c>
      <c r="AZ4" s="319">
        <v>5</v>
      </c>
      <c r="BA4" s="319">
        <v>6</v>
      </c>
      <c r="BB4" s="319">
        <v>7</v>
      </c>
      <c r="BC4" s="319">
        <v>8</v>
      </c>
      <c r="BD4" s="319">
        <v>9</v>
      </c>
      <c r="BE4" s="319">
        <v>10</v>
      </c>
      <c r="BF4" s="319">
        <v>11</v>
      </c>
      <c r="BG4" s="319">
        <v>12</v>
      </c>
      <c r="BM4" s="138"/>
    </row>
    <row r="5" spans="1:67" s="7" customFormat="1">
      <c r="A5" s="20"/>
      <c r="B5" s="20"/>
      <c r="C5" s="20"/>
      <c r="D5" s="20" t="s">
        <v>287</v>
      </c>
      <c r="E5" s="20" t="s">
        <v>288</v>
      </c>
      <c r="F5" s="20"/>
      <c r="G5" s="20"/>
      <c r="H5" s="20"/>
      <c r="I5" s="20"/>
      <c r="J5" s="20" t="s">
        <v>287</v>
      </c>
      <c r="K5" s="20" t="s">
        <v>288</v>
      </c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6"/>
      <c r="Y5" s="316"/>
      <c r="Z5" s="316"/>
      <c r="AA5" s="316"/>
      <c r="AB5" s="316"/>
      <c r="AC5" s="316"/>
      <c r="AD5" s="316"/>
      <c r="AE5" s="316"/>
      <c r="AF5" s="316"/>
      <c r="AG5" s="316"/>
      <c r="AH5" s="316"/>
      <c r="AI5" s="316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20"/>
      <c r="AW5" s="320"/>
      <c r="AX5" s="320"/>
      <c r="AY5" s="320"/>
      <c r="AZ5" s="320"/>
      <c r="BA5" s="320"/>
      <c r="BB5" s="320"/>
      <c r="BC5" s="320"/>
      <c r="BD5" s="320"/>
      <c r="BE5" s="320"/>
      <c r="BF5" s="320"/>
      <c r="BG5" s="320"/>
      <c r="BM5" s="165"/>
    </row>
    <row r="6" spans="1:67" s="31" customFormat="1" ht="15">
      <c r="A6" s="16" t="s">
        <v>164</v>
      </c>
      <c r="B6" s="44" t="s">
        <v>289</v>
      </c>
      <c r="C6" s="50">
        <v>43862</v>
      </c>
      <c r="D6" s="9">
        <v>43862</v>
      </c>
      <c r="E6" s="9">
        <v>45649</v>
      </c>
      <c r="F6" s="44" t="s">
        <v>290</v>
      </c>
      <c r="G6" s="44" t="str">
        <f t="shared" ref="G6:G12" si="0">H6&amp;"_"&amp;F6&amp;"_"&amp;"001"</f>
        <v>FC_KGT_x000D__001</v>
      </c>
      <c r="H6" s="44" t="s">
        <v>168</v>
      </c>
      <c r="I6" s="16" t="s">
        <v>291</v>
      </c>
      <c r="J6" s="14">
        <v>44958</v>
      </c>
      <c r="K6" s="163">
        <v>45000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4</v>
      </c>
      <c r="Z6" s="10">
        <v>4</v>
      </c>
      <c r="AA6" s="10">
        <v>0</v>
      </c>
      <c r="AB6" s="10">
        <v>0</v>
      </c>
      <c r="AC6" s="10">
        <v>0</v>
      </c>
      <c r="AD6" s="10">
        <v>4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74">
        <v>0</v>
      </c>
      <c r="AV6" s="10">
        <f t="shared" ref="AV6:BG12" si="1">(L6*$L$3+X6*$X$3+AJ6*$AJ$3)/8</f>
        <v>0</v>
      </c>
      <c r="AW6" s="10">
        <f t="shared" si="1"/>
        <v>1</v>
      </c>
      <c r="AX6" s="10">
        <f t="shared" si="1"/>
        <v>1</v>
      </c>
      <c r="AY6" s="10">
        <f t="shared" si="1"/>
        <v>0</v>
      </c>
      <c r="AZ6" s="10">
        <f t="shared" si="1"/>
        <v>0</v>
      </c>
      <c r="BA6" s="10">
        <f t="shared" si="1"/>
        <v>0</v>
      </c>
      <c r="BB6" s="10">
        <f t="shared" si="1"/>
        <v>1</v>
      </c>
      <c r="BC6" s="10">
        <f t="shared" si="1"/>
        <v>0</v>
      </c>
      <c r="BD6" s="10">
        <f t="shared" si="1"/>
        <v>0</v>
      </c>
      <c r="BE6" s="10">
        <f t="shared" si="1"/>
        <v>0</v>
      </c>
      <c r="BF6" s="10">
        <f t="shared" si="1"/>
        <v>0</v>
      </c>
      <c r="BG6" s="10">
        <f t="shared" si="1"/>
        <v>0</v>
      </c>
      <c r="BI6" s="125">
        <v>1</v>
      </c>
      <c r="BJ6" s="60">
        <v>44927</v>
      </c>
      <c r="BK6" s="60">
        <v>44957</v>
      </c>
      <c r="BL6"/>
      <c r="BM6" s="90" t="s">
        <v>149</v>
      </c>
      <c r="BN6" s="86">
        <v>44928</v>
      </c>
      <c r="BO6"/>
    </row>
    <row r="7" spans="1:67" s="31" customFormat="1" ht="15">
      <c r="A7" s="10" t="s">
        <v>164</v>
      </c>
      <c r="B7" s="71" t="s">
        <v>292</v>
      </c>
      <c r="C7" s="14">
        <v>43863</v>
      </c>
      <c r="D7" s="14">
        <v>45050</v>
      </c>
      <c r="E7" s="9">
        <v>45497</v>
      </c>
      <c r="F7" s="71" t="s">
        <v>290</v>
      </c>
      <c r="G7" s="71" t="str">
        <f t="shared" si="0"/>
        <v>FC_KGT_x000D__001</v>
      </c>
      <c r="H7" s="71" t="s">
        <v>168</v>
      </c>
      <c r="I7" s="10" t="s">
        <v>291</v>
      </c>
      <c r="J7" s="14">
        <v>44958</v>
      </c>
      <c r="K7" s="163">
        <v>45194</v>
      </c>
      <c r="L7" s="10">
        <v>4</v>
      </c>
      <c r="M7" s="10">
        <v>0</v>
      </c>
      <c r="N7" s="10">
        <v>0</v>
      </c>
      <c r="O7" s="10">
        <v>4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4</v>
      </c>
      <c r="V7" s="10">
        <v>0</v>
      </c>
      <c r="W7" s="10">
        <v>0</v>
      </c>
      <c r="X7" s="10">
        <v>0</v>
      </c>
      <c r="Y7" s="10">
        <v>4</v>
      </c>
      <c r="Z7" s="10">
        <v>4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4</v>
      </c>
      <c r="AO7" s="10">
        <v>0</v>
      </c>
      <c r="AP7" s="10">
        <v>0</v>
      </c>
      <c r="AQ7" s="10">
        <v>0</v>
      </c>
      <c r="AR7" s="10">
        <v>4</v>
      </c>
      <c r="AS7" s="10">
        <v>0</v>
      </c>
      <c r="AT7" s="10">
        <v>0</v>
      </c>
      <c r="AU7" s="74">
        <v>0</v>
      </c>
      <c r="AV7" s="10">
        <f t="shared" si="1"/>
        <v>0.75</v>
      </c>
      <c r="AW7" s="10">
        <f t="shared" si="1"/>
        <v>1</v>
      </c>
      <c r="AX7" s="10">
        <f t="shared" si="1"/>
        <v>1</v>
      </c>
      <c r="AY7" s="10">
        <f t="shared" si="1"/>
        <v>0.75</v>
      </c>
      <c r="AZ7" s="10">
        <f t="shared" si="1"/>
        <v>1.5</v>
      </c>
      <c r="BA7" s="10">
        <f t="shared" si="1"/>
        <v>0</v>
      </c>
      <c r="BB7" s="10">
        <f t="shared" si="1"/>
        <v>0</v>
      </c>
      <c r="BC7" s="10">
        <f t="shared" si="1"/>
        <v>0</v>
      </c>
      <c r="BD7" s="10">
        <f t="shared" si="1"/>
        <v>1.5</v>
      </c>
      <c r="BE7" s="10">
        <f t="shared" si="1"/>
        <v>0.75</v>
      </c>
      <c r="BF7" s="10">
        <f t="shared" si="1"/>
        <v>0</v>
      </c>
      <c r="BG7" s="10">
        <f t="shared" si="1"/>
        <v>0</v>
      </c>
      <c r="BI7" s="125">
        <v>2</v>
      </c>
      <c r="BJ7" s="60">
        <v>44958</v>
      </c>
      <c r="BK7" s="60">
        <v>44985</v>
      </c>
      <c r="BL7"/>
      <c r="BM7" s="90" t="s">
        <v>163</v>
      </c>
      <c r="BN7" s="86">
        <v>44946</v>
      </c>
      <c r="BO7"/>
    </row>
    <row r="8" spans="1:67" s="31" customFormat="1" ht="15">
      <c r="A8" s="8" t="s">
        <v>164</v>
      </c>
      <c r="B8" s="43" t="s">
        <v>293</v>
      </c>
      <c r="C8" s="9">
        <v>43864</v>
      </c>
      <c r="D8" s="9">
        <v>44927</v>
      </c>
      <c r="E8" s="9">
        <v>45498</v>
      </c>
      <c r="F8" s="43" t="s">
        <v>290</v>
      </c>
      <c r="G8" s="43" t="str">
        <f t="shared" si="0"/>
        <v>FC_KGT_x000D__001</v>
      </c>
      <c r="H8" s="43" t="s">
        <v>168</v>
      </c>
      <c r="I8" s="8" t="s">
        <v>291</v>
      </c>
      <c r="J8" s="14">
        <v>44958</v>
      </c>
      <c r="K8" s="163">
        <v>45194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4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74">
        <v>0</v>
      </c>
      <c r="AV8" s="10">
        <f t="shared" si="1"/>
        <v>0</v>
      </c>
      <c r="AW8" s="10">
        <f t="shared" si="1"/>
        <v>0</v>
      </c>
      <c r="AX8" s="10">
        <f t="shared" si="1"/>
        <v>0</v>
      </c>
      <c r="AY8" s="10">
        <f t="shared" si="1"/>
        <v>0</v>
      </c>
      <c r="AZ8" s="10">
        <f t="shared" si="1"/>
        <v>0</v>
      </c>
      <c r="BA8" s="10">
        <f t="shared" si="1"/>
        <v>0</v>
      </c>
      <c r="BB8" s="10">
        <f t="shared" si="1"/>
        <v>0</v>
      </c>
      <c r="BC8" s="10">
        <f t="shared" si="1"/>
        <v>0.75</v>
      </c>
      <c r="BD8" s="10">
        <f t="shared" si="1"/>
        <v>0</v>
      </c>
      <c r="BE8" s="10">
        <f t="shared" si="1"/>
        <v>0</v>
      </c>
      <c r="BF8" s="10">
        <f t="shared" si="1"/>
        <v>0</v>
      </c>
      <c r="BG8" s="10">
        <f t="shared" si="1"/>
        <v>0</v>
      </c>
      <c r="BI8" s="125">
        <v>3</v>
      </c>
      <c r="BJ8" s="60">
        <v>44986</v>
      </c>
      <c r="BK8" s="60">
        <v>45016</v>
      </c>
      <c r="BL8"/>
      <c r="BM8" s="91"/>
      <c r="BN8" s="86">
        <v>44947</v>
      </c>
      <c r="BO8"/>
    </row>
    <row r="9" spans="1:67" s="5" customFormat="1" ht="15">
      <c r="A9" s="144" t="s">
        <v>165</v>
      </c>
      <c r="B9" s="145" t="s">
        <v>294</v>
      </c>
      <c r="C9" s="146">
        <v>43865</v>
      </c>
      <c r="D9" s="147">
        <v>43862</v>
      </c>
      <c r="E9" s="147">
        <v>45008</v>
      </c>
      <c r="F9" s="148" t="s">
        <v>211</v>
      </c>
      <c r="G9" s="148" t="str">
        <f t="shared" si="0"/>
        <v>TB_BKT_001</v>
      </c>
      <c r="H9" s="148" t="s">
        <v>199</v>
      </c>
      <c r="I9" s="144" t="s">
        <v>200</v>
      </c>
      <c r="J9" s="149">
        <v>44958</v>
      </c>
      <c r="K9" s="164">
        <v>45194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4</v>
      </c>
      <c r="Y9" s="10">
        <v>0</v>
      </c>
      <c r="Z9" s="10">
        <v>0</v>
      </c>
      <c r="AA9" s="10">
        <v>0</v>
      </c>
      <c r="AB9" s="10">
        <v>4</v>
      </c>
      <c r="AC9" s="10">
        <v>0</v>
      </c>
      <c r="AD9" s="10">
        <v>4</v>
      </c>
      <c r="AE9" s="10">
        <v>0</v>
      </c>
      <c r="AF9" s="10">
        <v>0</v>
      </c>
      <c r="AG9" s="10">
        <v>4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74">
        <v>0</v>
      </c>
      <c r="AV9" s="10">
        <f t="shared" si="1"/>
        <v>1</v>
      </c>
      <c r="AW9" s="10">
        <f t="shared" si="1"/>
        <v>0</v>
      </c>
      <c r="AX9" s="10">
        <f t="shared" si="1"/>
        <v>0</v>
      </c>
      <c r="AY9" s="10">
        <f t="shared" si="1"/>
        <v>0</v>
      </c>
      <c r="AZ9" s="10">
        <f t="shared" si="1"/>
        <v>1</v>
      </c>
      <c r="BA9" s="10">
        <f t="shared" si="1"/>
        <v>0</v>
      </c>
      <c r="BB9" s="10">
        <f t="shared" si="1"/>
        <v>1</v>
      </c>
      <c r="BC9" s="10">
        <f t="shared" si="1"/>
        <v>0</v>
      </c>
      <c r="BD9" s="10">
        <f t="shared" si="1"/>
        <v>0</v>
      </c>
      <c r="BE9" s="10">
        <f t="shared" si="1"/>
        <v>1</v>
      </c>
      <c r="BF9" s="10">
        <f t="shared" si="1"/>
        <v>0</v>
      </c>
      <c r="BG9" s="10">
        <f t="shared" si="1"/>
        <v>0</v>
      </c>
      <c r="BI9" s="125">
        <v>4</v>
      </c>
      <c r="BJ9" s="60">
        <v>45017</v>
      </c>
      <c r="BK9" s="60">
        <v>45046</v>
      </c>
      <c r="BL9"/>
      <c r="BM9" s="91"/>
      <c r="BN9" s="86">
        <v>44948</v>
      </c>
      <c r="BO9"/>
    </row>
    <row r="10" spans="1:67" s="5" customFormat="1" ht="15">
      <c r="A10" s="144" t="s">
        <v>165</v>
      </c>
      <c r="B10" s="145" t="s">
        <v>294</v>
      </c>
      <c r="C10" s="146">
        <v>43865</v>
      </c>
      <c r="D10" s="147">
        <v>45009</v>
      </c>
      <c r="E10" s="147">
        <v>45375</v>
      </c>
      <c r="F10" s="148" t="s">
        <v>211</v>
      </c>
      <c r="G10" s="148" t="str">
        <f t="shared" si="0"/>
        <v>TB_BKT_001</v>
      </c>
      <c r="H10" s="148" t="s">
        <v>199</v>
      </c>
      <c r="I10" s="144" t="s">
        <v>200</v>
      </c>
      <c r="J10" s="149">
        <v>44958</v>
      </c>
      <c r="K10" s="164">
        <v>45194</v>
      </c>
      <c r="L10" s="10">
        <v>0</v>
      </c>
      <c r="M10" s="10">
        <v>0</v>
      </c>
      <c r="N10" s="10">
        <v>0</v>
      </c>
      <c r="O10" s="10">
        <v>4</v>
      </c>
      <c r="P10" s="10">
        <v>0</v>
      </c>
      <c r="Q10" s="10">
        <v>0</v>
      </c>
      <c r="R10" s="10">
        <v>0</v>
      </c>
      <c r="S10" s="10">
        <v>4</v>
      </c>
      <c r="T10" s="10">
        <v>0</v>
      </c>
      <c r="U10" s="10">
        <v>0</v>
      </c>
      <c r="V10" s="10">
        <v>4</v>
      </c>
      <c r="W10" s="10">
        <v>0</v>
      </c>
      <c r="X10" s="10">
        <v>0</v>
      </c>
      <c r="Y10" s="10">
        <v>0</v>
      </c>
      <c r="Z10" s="10">
        <v>4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74">
        <v>4</v>
      </c>
      <c r="AV10" s="10">
        <f t="shared" si="1"/>
        <v>0</v>
      </c>
      <c r="AW10" s="10">
        <f t="shared" si="1"/>
        <v>0</v>
      </c>
      <c r="AX10" s="10">
        <f t="shared" si="1"/>
        <v>1</v>
      </c>
      <c r="AY10" s="10">
        <f t="shared" si="1"/>
        <v>0.75</v>
      </c>
      <c r="AZ10" s="10">
        <f t="shared" si="1"/>
        <v>0</v>
      </c>
      <c r="BA10" s="10">
        <f t="shared" si="1"/>
        <v>0</v>
      </c>
      <c r="BB10" s="10">
        <f t="shared" si="1"/>
        <v>0</v>
      </c>
      <c r="BC10" s="10">
        <f t="shared" si="1"/>
        <v>0.75</v>
      </c>
      <c r="BD10" s="10">
        <f t="shared" si="1"/>
        <v>0</v>
      </c>
      <c r="BE10" s="10">
        <f t="shared" si="1"/>
        <v>0</v>
      </c>
      <c r="BF10" s="10">
        <f t="shared" si="1"/>
        <v>0.75</v>
      </c>
      <c r="BG10" s="10">
        <f t="shared" si="1"/>
        <v>1.5</v>
      </c>
      <c r="BI10" s="125">
        <v>4</v>
      </c>
      <c r="BJ10" s="60">
        <v>45017</v>
      </c>
      <c r="BK10" s="60">
        <v>45046</v>
      </c>
      <c r="BL10"/>
      <c r="BM10" s="137"/>
      <c r="BN10" s="86">
        <v>44948</v>
      </c>
      <c r="BO10"/>
    </row>
    <row r="11" spans="1:67" s="5" customFormat="1" ht="15">
      <c r="A11" s="8" t="s">
        <v>166</v>
      </c>
      <c r="B11" s="43" t="s">
        <v>295</v>
      </c>
      <c r="C11" s="9">
        <v>43866</v>
      </c>
      <c r="D11" s="9">
        <v>44970</v>
      </c>
      <c r="E11" s="9">
        <v>45500</v>
      </c>
      <c r="F11" s="43" t="s">
        <v>215</v>
      </c>
      <c r="G11" s="43" t="str">
        <f t="shared" si="0"/>
        <v>TB_OMI_001</v>
      </c>
      <c r="H11" s="43" t="s">
        <v>199</v>
      </c>
      <c r="I11" s="8" t="s">
        <v>200</v>
      </c>
      <c r="J11" s="14">
        <v>44958</v>
      </c>
      <c r="K11" s="163">
        <v>45194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4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74">
        <v>0</v>
      </c>
      <c r="AV11" s="10">
        <f t="shared" si="1"/>
        <v>0</v>
      </c>
      <c r="AW11" s="10">
        <f t="shared" si="1"/>
        <v>1</v>
      </c>
      <c r="AX11" s="10">
        <f t="shared" si="1"/>
        <v>0</v>
      </c>
      <c r="AY11" s="10">
        <f t="shared" si="1"/>
        <v>0</v>
      </c>
      <c r="AZ11" s="10">
        <f t="shared" si="1"/>
        <v>0</v>
      </c>
      <c r="BA11" s="10">
        <f t="shared" si="1"/>
        <v>0</v>
      </c>
      <c r="BB11" s="10">
        <f t="shared" si="1"/>
        <v>0</v>
      </c>
      <c r="BC11" s="10">
        <f t="shared" si="1"/>
        <v>0</v>
      </c>
      <c r="BD11" s="10">
        <f t="shared" si="1"/>
        <v>0</v>
      </c>
      <c r="BE11" s="10">
        <f t="shared" si="1"/>
        <v>0</v>
      </c>
      <c r="BF11" s="10">
        <f t="shared" si="1"/>
        <v>0</v>
      </c>
      <c r="BG11" s="10">
        <f t="shared" si="1"/>
        <v>0</v>
      </c>
      <c r="BI11" s="125">
        <v>5</v>
      </c>
      <c r="BJ11" s="60">
        <v>45047</v>
      </c>
      <c r="BK11" s="60">
        <v>45077</v>
      </c>
      <c r="BL11"/>
      <c r="BM11" s="91"/>
      <c r="BN11" s="86">
        <v>44949</v>
      </c>
    </row>
    <row r="12" spans="1:67" s="5" customFormat="1" ht="15">
      <c r="A12" s="8" t="s">
        <v>166</v>
      </c>
      <c r="B12" s="43" t="s">
        <v>296</v>
      </c>
      <c r="C12" s="9">
        <v>43867</v>
      </c>
      <c r="D12" s="9">
        <v>44970</v>
      </c>
      <c r="E12" s="9">
        <v>45501</v>
      </c>
      <c r="F12" s="43" t="s">
        <v>297</v>
      </c>
      <c r="G12" s="43" t="str">
        <f t="shared" si="0"/>
        <v>PS_GYM_001</v>
      </c>
      <c r="H12" s="43" t="s">
        <v>298</v>
      </c>
      <c r="I12" s="8" t="s">
        <v>79</v>
      </c>
      <c r="J12" s="14">
        <v>44927</v>
      </c>
      <c r="K12" s="163">
        <v>45227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4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4</v>
      </c>
      <c r="AR12" s="10">
        <v>0</v>
      </c>
      <c r="AS12" s="10">
        <v>0</v>
      </c>
      <c r="AT12" s="10">
        <v>0</v>
      </c>
      <c r="AU12" s="74">
        <v>0</v>
      </c>
      <c r="AV12" s="10">
        <f t="shared" si="1"/>
        <v>0</v>
      </c>
      <c r="AW12" s="10">
        <f t="shared" si="1"/>
        <v>1.5</v>
      </c>
      <c r="AX12" s="10">
        <f t="shared" si="1"/>
        <v>0</v>
      </c>
      <c r="AY12" s="10">
        <f t="shared" si="1"/>
        <v>0</v>
      </c>
      <c r="AZ12" s="10">
        <f t="shared" si="1"/>
        <v>0</v>
      </c>
      <c r="BA12" s="10">
        <f t="shared" si="1"/>
        <v>0</v>
      </c>
      <c r="BB12" s="10">
        <f t="shared" si="1"/>
        <v>0</v>
      </c>
      <c r="BC12" s="10">
        <f t="shared" si="1"/>
        <v>1.5</v>
      </c>
      <c r="BD12" s="10">
        <f t="shared" si="1"/>
        <v>0</v>
      </c>
      <c r="BE12" s="10">
        <f t="shared" si="1"/>
        <v>0</v>
      </c>
      <c r="BF12" s="10">
        <f t="shared" si="1"/>
        <v>0</v>
      </c>
      <c r="BG12" s="10">
        <f t="shared" si="1"/>
        <v>0</v>
      </c>
      <c r="BI12" s="125">
        <v>6</v>
      </c>
      <c r="BJ12" s="60">
        <v>45078</v>
      </c>
      <c r="BK12" s="60">
        <v>45107</v>
      </c>
      <c r="BL12"/>
      <c r="BM12" s="91"/>
      <c r="BN12" s="86">
        <v>44950</v>
      </c>
    </row>
    <row r="13" spans="1:67" s="5" customFormat="1" ht="15">
      <c r="A13" s="4"/>
      <c r="B13" s="4"/>
      <c r="C13" s="4"/>
      <c r="D13" s="4"/>
      <c r="E13" s="4"/>
      <c r="F13" s="45"/>
      <c r="G13" s="45"/>
      <c r="H13" s="4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30"/>
      <c r="BI13" s="125">
        <v>7</v>
      </c>
      <c r="BJ13" s="60">
        <v>45108</v>
      </c>
      <c r="BK13" s="60">
        <v>45138</v>
      </c>
      <c r="BL13" s="7"/>
      <c r="BM13" s="91"/>
      <c r="BN13" s="86">
        <v>44951</v>
      </c>
    </row>
    <row r="14" spans="1:67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35"/>
      <c r="BI14" s="125">
        <v>8</v>
      </c>
      <c r="BJ14" s="60">
        <v>45139</v>
      </c>
      <c r="BK14" s="60">
        <v>45169</v>
      </c>
      <c r="BM14" s="92"/>
      <c r="BN14" s="86">
        <v>44952</v>
      </c>
    </row>
    <row r="15" spans="1:67" ht="15">
      <c r="BI15" s="20">
        <v>9</v>
      </c>
      <c r="BJ15" s="60">
        <v>45170</v>
      </c>
      <c r="BK15" s="60">
        <v>45199</v>
      </c>
      <c r="BL15" s="5"/>
      <c r="BM15" s="93" t="s">
        <v>170</v>
      </c>
      <c r="BN15" s="88">
        <v>45048</v>
      </c>
    </row>
    <row r="16" spans="1:67" ht="15">
      <c r="BI16" s="20">
        <v>10</v>
      </c>
      <c r="BJ16" s="60">
        <v>45200</v>
      </c>
      <c r="BK16" s="60">
        <v>45230</v>
      </c>
      <c r="BL16" s="5"/>
      <c r="BM16" s="93" t="s">
        <v>191</v>
      </c>
      <c r="BN16" s="86">
        <v>45049</v>
      </c>
    </row>
    <row r="17" spans="61:66" ht="15">
      <c r="BI17" s="20">
        <v>11</v>
      </c>
      <c r="BJ17" s="60">
        <v>45231</v>
      </c>
      <c r="BK17" s="60">
        <v>45260</v>
      </c>
      <c r="BL17" s="5"/>
      <c r="BM17" s="90" t="s">
        <v>192</v>
      </c>
      <c r="BN17" s="89">
        <v>45047</v>
      </c>
    </row>
    <row r="18" spans="61:66" ht="15">
      <c r="BI18" s="20">
        <v>12</v>
      </c>
      <c r="BJ18" s="60">
        <v>45261</v>
      </c>
      <c r="BK18" s="60">
        <v>45291</v>
      </c>
      <c r="BL18" s="5"/>
      <c r="BM18" s="93" t="s">
        <v>195</v>
      </c>
      <c r="BN18" s="86">
        <v>45170</v>
      </c>
    </row>
    <row r="19" spans="61:66" ht="15">
      <c r="BI19" s="5"/>
      <c r="BJ19" s="5"/>
      <c r="BK19" s="5"/>
      <c r="BL19" s="5"/>
      <c r="BM19" s="93"/>
      <c r="BN19" s="86">
        <v>45171</v>
      </c>
    </row>
    <row r="20" spans="61:66" ht="15">
      <c r="BI20" s="5"/>
      <c r="BJ20" s="5"/>
      <c r="BK20" s="5"/>
      <c r="BL20" s="5"/>
      <c r="BM20" s="93"/>
      <c r="BN20" s="86">
        <v>45172</v>
      </c>
    </row>
    <row r="21" spans="61:66" ht="15">
      <c r="BI21" s="5"/>
      <c r="BJ21" s="5"/>
      <c r="BK21" s="5"/>
      <c r="BL21" s="5"/>
      <c r="BM21" s="93"/>
      <c r="BN21" s="86">
        <v>45173</v>
      </c>
    </row>
  </sheetData>
  <mergeCells count="61">
    <mergeCell ref="AX4:AX5"/>
    <mergeCell ref="AY4:AY5"/>
    <mergeCell ref="BE4:BE5"/>
    <mergeCell ref="BF4:BF5"/>
    <mergeCell ref="BG4:BG5"/>
    <mergeCell ref="AZ4:AZ5"/>
    <mergeCell ref="BA4:BA5"/>
    <mergeCell ref="BB4:BB5"/>
    <mergeCell ref="BC4:BC5"/>
    <mergeCell ref="BD4:BD5"/>
    <mergeCell ref="AS4:AS5"/>
    <mergeCell ref="AT4:AT5"/>
    <mergeCell ref="AU4:AU5"/>
    <mergeCell ref="AV4:AV5"/>
    <mergeCell ref="AW4:AW5"/>
    <mergeCell ref="AN4:AN5"/>
    <mergeCell ref="AO4:AO5"/>
    <mergeCell ref="AP4:AP5"/>
    <mergeCell ref="AQ4:AQ5"/>
    <mergeCell ref="AR4:AR5"/>
    <mergeCell ref="AI4:AI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Y4:Y5"/>
    <mergeCell ref="Z4:Z5"/>
    <mergeCell ref="AA4:AA5"/>
    <mergeCell ref="AB4:AB5"/>
    <mergeCell ref="AC4:AC5"/>
    <mergeCell ref="T4:T5"/>
    <mergeCell ref="U4:U5"/>
    <mergeCell ref="V4:V5"/>
    <mergeCell ref="W4:W5"/>
    <mergeCell ref="X4:X5"/>
    <mergeCell ref="O4:O5"/>
    <mergeCell ref="P4:P5"/>
    <mergeCell ref="Q4:Q5"/>
    <mergeCell ref="R4:R5"/>
    <mergeCell ref="S4:S5"/>
    <mergeCell ref="G3:G4"/>
    <mergeCell ref="H3:I4"/>
    <mergeCell ref="J3:K4"/>
    <mergeCell ref="A1:BG1"/>
    <mergeCell ref="AV3:BG3"/>
    <mergeCell ref="M3:W3"/>
    <mergeCell ref="Y3:AI3"/>
    <mergeCell ref="AK3:AU3"/>
    <mergeCell ref="A3:A4"/>
    <mergeCell ref="B3:B4"/>
    <mergeCell ref="C3:C4"/>
    <mergeCell ref="D3:E4"/>
    <mergeCell ref="F3:F4"/>
    <mergeCell ref="L4:L5"/>
    <mergeCell ref="M4:M5"/>
    <mergeCell ref="N4:N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3b0da44f-c015-4b01-9bfe-849af7056ce4">true</test>
    <TaxCatchAll xmlns="c0459d9f-24ce-4a83-ac47-67a142fa7598" xsi:nil="true"/>
    <lcf76f155ced4ddcb4097134ff3c332f xmlns="3b0da44f-c015-4b01-9bfe-849af7056ce4">
      <Terms xmlns="http://schemas.microsoft.com/office/infopath/2007/PartnerControls"/>
    </lcf76f155ced4ddcb4097134ff3c332f>
    <SharedWithUsers xmlns="c0459d9f-24ce-4a83-ac47-67a142fa7598">
      <UserInfo>
        <DisplayName>Vũ Ngân Anh</DisplayName>
        <AccountId>15</AccountId>
        <AccountType/>
      </UserInfo>
      <UserInfo>
        <DisplayName>Hải Anh</DisplayName>
        <AccountId>73</AccountId>
        <AccountType/>
      </UserInfo>
      <UserInfo>
        <DisplayName>Anna Tran</DisplayName>
        <AccountId>19</AccountId>
        <AccountType/>
      </UserInfo>
      <UserInfo>
        <DisplayName>Trần Mạnh Long</DisplayName>
        <AccountId>90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376E2CAFCA64EB61F8E9A80EF5625" ma:contentTypeVersion="17" ma:contentTypeDescription="Create a new document." ma:contentTypeScope="" ma:versionID="098e8ef82f833d1ecff39c7ad637ea41">
  <xsd:schema xmlns:xsd="http://www.w3.org/2001/XMLSchema" xmlns:xs="http://www.w3.org/2001/XMLSchema" xmlns:p="http://schemas.microsoft.com/office/2006/metadata/properties" xmlns:ns2="3b0da44f-c015-4b01-9bfe-849af7056ce4" xmlns:ns3="c0459d9f-24ce-4a83-ac47-67a142fa7598" targetNamespace="http://schemas.microsoft.com/office/2006/metadata/properties" ma:root="true" ma:fieldsID="168646b3f410c47a4e9f1a2314053ab2" ns2:_="" ns3:_="">
    <xsd:import namespace="3b0da44f-c015-4b01-9bfe-849af7056ce4"/>
    <xsd:import namespace="c0459d9f-24ce-4a83-ac47-67a142fa7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test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da44f-c015-4b01-9bfe-849af7056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e4d396-5e17-4fed-a527-a1eafc966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0" nillable="true" ma:displayName="test" ma:default="1" ma:format="Dropdown" ma:internalName="test">
      <xsd:simpleType>
        <xsd:restriction base="dms:Boolea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59d9f-24ce-4a83-ac47-67a142fa75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c5fc185-0076-4d21-b394-17e2f803b2c8}" ma:internalName="TaxCatchAll" ma:showField="CatchAllData" ma:web="c0459d9f-24ce-4a83-ac47-67a142fa7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6B4B07-BAC7-45CB-909A-C712AE1730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869C25-C1D2-454B-8EB0-2ACE3E00D217}">
  <ds:schemaRefs>
    <ds:schemaRef ds:uri="http://schemas.microsoft.com/office/2006/metadata/properties"/>
    <ds:schemaRef ds:uri="http://schemas.microsoft.com/office/infopath/2007/PartnerControls"/>
    <ds:schemaRef ds:uri="3b0da44f-c015-4b01-9bfe-849af7056ce4"/>
    <ds:schemaRef ds:uri="c0459d9f-24ce-4a83-ac47-67a142fa7598"/>
  </ds:schemaRefs>
</ds:datastoreItem>
</file>

<file path=customXml/itemProps3.xml><?xml version="1.0" encoding="utf-8"?>
<ds:datastoreItem xmlns:ds="http://schemas.openxmlformats.org/officeDocument/2006/customXml" ds:itemID="{99096770-CAEE-4FC3-9E93-16DDC061D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0da44f-c015-4b01-9bfe-849af7056ce4"/>
    <ds:schemaRef ds:uri="c0459d9f-24ce-4a83-ac47-67a142fa7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Fomular</vt:lpstr>
      <vt:lpstr>00. Revenue Actual</vt:lpstr>
      <vt:lpstr>01. Revenue Forecast</vt:lpstr>
      <vt:lpstr>02. Revenue Target</vt:lpstr>
      <vt:lpstr>03. Cost Actual</vt:lpstr>
      <vt:lpstr>04. Cost Forecast</vt:lpstr>
      <vt:lpstr>05. Cost Target</vt:lpstr>
      <vt:lpstr>06. P&amp;L Actual</vt:lpstr>
      <vt:lpstr>07. P&amp;L Forecast</vt:lpstr>
      <vt:lpstr>08. P&amp;L Target</vt:lpstr>
      <vt:lpstr>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Phong Hoang Savvycom</cp:lastModifiedBy>
  <cp:revision/>
  <dcterms:created xsi:type="dcterms:W3CDTF">2023-04-05T03:39:49Z</dcterms:created>
  <dcterms:modified xsi:type="dcterms:W3CDTF">2026-03-31T22:06:49Z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0x010100C7D376E2CAFCA64EB61F8E9A80EF5625</vt:lpwstr>
  </property>
  <property fmtid="{D5CDD505-2E9C-101B-9397-08002B2CF9AE}" pid="3" name="MediaServiceImageTags">
    <vt:lpwstr/>
  </property>
</Properties>
</file>